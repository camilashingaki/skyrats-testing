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Resumo" sheetId="2" state="visible" r:id="rId4"/>
    <sheet name="Legenda" sheetId="3" state="visible" r:id="rId5"/>
  </sheets>
  <definedNames>
    <definedName function="false" hidden="true" localSheetId="0" name="_xlnm._FilterDatabase" vbProcedure="false">Checklist!$A$1:$J$98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<sst xmlns="http://schemas.openxmlformats.org/spreadsheetml/2006/main" count="640" uniqueCount="256">
  <si>
    <t xml:space="preserve">ID</t>
  </si>
  <si>
    <t xml:space="preserve">Fase</t>
  </si>
  <si>
    <t xml:space="preserve">API / Item</t>
  </si>
  <si>
    <t xml:space="preserve">O que verificar</t>
  </si>
  <si>
    <t xml:space="preserve">Arquivo provável</t>
  </si>
  <si>
    <t xml:space="preserve">Ambiente</t>
  </si>
  <si>
    <t xml:space="preserve">Status</t>
  </si>
  <si>
    <t xml:space="preserve">Data</t>
  </si>
  <si>
    <t xml:space="preserve">Responsável</t>
  </si>
  <si>
    <t xml:space="preserve">Observações</t>
  </si>
  <si>
    <t xml:space="preserve">0 - Preparação</t>
  </si>
  <si>
    <t xml:space="preserve">SITL do ArduCopter</t>
  </si>
  <si>
    <t xml:space="preserve">Rodando em tcp:127.0.0.1:5760</t>
  </si>
  <si>
    <t xml:space="preserve">—</t>
  </si>
  <si>
    <t xml:space="preserve">SITL</t>
  </si>
  <si>
    <t xml:space="preserve">Pendente</t>
  </si>
  <si>
    <t xml:space="preserve">GCS em paralelo</t>
  </si>
  <si>
    <t xml:space="preserve">QGC/MAVProxy conectado para comparar o que a lib diz com o que o FC faz</t>
  </si>
  <si>
    <t xml:space="preserve">Ambos</t>
  </si>
  <si>
    <t xml:space="preserve">Itens só de hardware</t>
  </si>
  <si>
    <t xml:space="preserve">Anotar o que só valida em hardware: serial, rangefinder, voo sem GPS/VIO, servo, landing target</t>
  </si>
  <si>
    <t xml:space="preserve">Hardware</t>
  </si>
  <si>
    <t xml:space="preserve">1 - Ciclo de vida e conexão</t>
  </si>
  <si>
    <t xml:space="preserve">SkyMAVLink(endpoint, takeoff_altitude)</t>
  </si>
  <si>
    <t xml:space="preserve">Abre a conexão sem esperar o FC e sem armar</t>
  </si>
  <si>
    <t xml:space="preserve">core.py</t>
  </si>
  <si>
    <t xml:space="preserve">wait_for_connection(timeout)</t>
  </si>
  <si>
    <t xml:space="preserve">Sucesso e TimeoutError (endpoint errado ou FC desligado)</t>
  </si>
  <si>
    <t xml:space="preserve">wait_ready(timeout, require_gps)</t>
  </si>
  <si>
    <t xml:space="preserve">Com GPS e com require_gps=False; a mensagem de timeout traz modo, fix, satélites e posição global</t>
  </si>
  <si>
    <t xml:space="preserve">request_streams(rate_hz)</t>
  </si>
  <si>
    <t xml:space="preserve">Reiniciar o FC e conferir que os dados voltam; testar rate_hz &lt; 1</t>
  </si>
  <si>
    <t xml:space="preserve">sleep(seconds)</t>
  </si>
  <si>
    <t xml:space="preserve">Worker continua recebendo telemetria durante a espera; valor negativo</t>
  </si>
  <si>
    <t xml:space="preserve">wait_until(predicate, timeout, description)</t>
  </si>
  <si>
    <t xml:space="preserve">Sucesso e timeout</t>
  </si>
  <si>
    <t xml:space="preserve">get_logger()</t>
  </si>
  <si>
    <t xml:space="preserve">Retorna o logger da lib e escreve na mesma configuração</t>
  </si>
  <si>
    <t xml:space="preserve">shutdown()</t>
  </si>
  <si>
    <t xml:space="preserve">Idempotente; não pousa nem desarma; chamadas depois dão RuntimeError</t>
  </si>
  <si>
    <t xml:space="preserve">Context manager (with)</t>
  </si>
  <si>
    <t xml:space="preserve">Chama shutdown() mesmo quando há exceção</t>
  </si>
  <si>
    <t xml:space="preserve">is_connected()</t>
  </si>
  <si>
    <t xml:space="preserve">Vira False depois de 3 s sem heartbeat</t>
  </si>
  <si>
    <t xml:space="preserve">2 - Getters (só leitura)</t>
  </si>
  <si>
    <t xml:space="preserve">is_armed()</t>
  </si>
  <si>
    <t xml:space="preserve">Reflete heartbeat fresco (até 3 s)</t>
  </si>
  <si>
    <t xml:space="preserve">get_mode()</t>
  </si>
  <si>
    <t xml:space="preserve">Nome do modo; None sem heartbeat fresco</t>
  </si>
  <si>
    <t xml:space="preserve">recent_statustexts(seconds)</t>
  </si>
  <si>
    <t xml:space="preserve">Forçar um pre-arm failure e ver o texto aparecer</t>
  </si>
  <si>
    <t xml:space="preserve">wait_for_position(timeout)</t>
  </si>
  <si>
    <t xml:space="preserve">Retorna (N, E, D); TimeoutError em EKF frio</t>
  </si>
  <si>
    <t xml:space="preserve">get_pose_local()</t>
  </si>
  <si>
    <t xml:space="preserve">(N, E, D) em NED; None antes da primeira mensagem</t>
  </si>
  <si>
    <t xml:space="preserve">get_position()</t>
  </si>
  <si>
    <t xml:space="preserve">Alias: retorna o mesmo valor de get_pose_local()</t>
  </si>
  <si>
    <t xml:space="preserve">get_velocity_local()</t>
  </si>
  <si>
    <t xml:space="preserve">None após 2 s sem telemetria</t>
  </si>
  <si>
    <t xml:space="preserve">get_attitude()</t>
  </si>
  <si>
    <t xml:space="preserve">Valores em radianos</t>
  </si>
  <si>
    <t xml:space="preserve">get_heading()</t>
  </si>
  <si>
    <t xml:space="preserve">Faixa [0, 360) e fallback para GLOBAL_POSITION_INT.hdg</t>
  </si>
  <si>
    <t xml:space="preserve">get_global_position()</t>
  </si>
  <si>
    <t xml:space="preserve">(lat, lon); None após 2 s sem update</t>
  </si>
  <si>
    <t xml:space="preserve">get_pose_global()</t>
  </si>
  <si>
    <t xml:space="preserve">(lat, lon, altitude sobre a home); ambos frescos</t>
  </si>
  <si>
    <t xml:space="preserve">get_relative_altitude()</t>
  </si>
  <si>
    <t xml:space="preserve">Metros acima da home; None se velho</t>
  </si>
  <si>
    <t xml:space="preserve">get_rangefinder()</t>
  </si>
  <si>
    <t xml:space="preserve">Valor inválido ou fora de faixa vira None</t>
  </si>
  <si>
    <t xml:space="preserve">get_altitude(prefer_rangefinder)</t>
  </si>
  <si>
    <t xml:space="preserve">Ordem das fontes: rangefinder, relativa, -down</t>
  </si>
  <si>
    <t xml:space="preserve">get_gps_fix()</t>
  </si>
  <si>
    <t xml:space="preserve">Satélites = 255 vira None; (None, None) se velho</t>
  </si>
  <si>
    <t xml:space="preserve">has_gps_fix(minimum_fix_type)</t>
  </si>
  <si>
    <t xml:space="preserve">Compara com o fix fresco mais recente</t>
  </si>
  <si>
    <t xml:space="preserve">get_battery()</t>
  </si>
  <si>
    <t xml:space="preserve">Campos desconhecidos são None (não zero); expira em 5 s</t>
  </si>
  <si>
    <t xml:space="preserve">get_home_position()</t>
  </si>
  <si>
    <t xml:space="preserve">Altitude em MSL</t>
  </si>
  <si>
    <t xml:space="preserve">Teste de staleness</t>
  </si>
  <si>
    <t xml:space="preserve">Parar a telemetria: posição/velocidade/GPS viram None em 2 s e bateria em 5 s</t>
  </si>
  <si>
    <t xml:space="preserve">3 - Parâmetros e comandos de baixo nível</t>
  </si>
  <si>
    <t xml:space="preserve">get_parameter(name, timeout)</t>
  </si>
  <si>
    <t xml:space="preserve">Sucesso; nome inválido (ValueError); inexistente (TimeoutError)</t>
  </si>
  <si>
    <t xml:space="preserve">commands.py</t>
  </si>
  <si>
    <t xml:space="preserve">set_parameter(name, value)</t>
  </si>
  <si>
    <t xml:space="preserve">Fire-and-forget: confirmar lendo de volta</t>
  </si>
  <si>
    <t xml:space="preserve">set_parameter_and_wait(...)</t>
  </si>
  <si>
    <t xml:space="preserve">Sucesso; tolerância funciona com float</t>
  </si>
  <si>
    <t xml:space="preserve">send_statustext(text, severity)</t>
  </si>
  <si>
    <t xml:space="preserve">Aparece no GCS; truncamento em 50 bytes; severidade inválida</t>
  </si>
  <si>
    <t xml:space="preserve">send_command(command, *params)</t>
  </si>
  <si>
    <t xml:space="preserve">Aceito; rejeitado (CommandError); sem resposta (TimeoutError)</t>
  </si>
  <si>
    <t xml:space="preserve">set_speed(speed_ms, speed_type)</t>
  </si>
  <si>
    <t xml:space="preserve">Tipos ground/climb/descent; deve ser rejeitado em STABILIZE</t>
  </si>
  <si>
    <t xml:space="preserve">set_roi(lat, lon, alt)</t>
  </si>
  <si>
    <t xml:space="preserve">ACK aceito e comportamento do gimbal/nariz</t>
  </si>
  <si>
    <t xml:space="preserve">clear_roi()</t>
  </si>
  <si>
    <t xml:space="preserve">ACK aceito e volta ao comportamento padrão</t>
  </si>
  <si>
    <t xml:space="preserve">set_servo(channel, pwm)</t>
  </si>
  <si>
    <t xml:space="preserve">Sem ACK: confirmar fisicamente ou no GCS; só em canal seguro e sem hélices</t>
  </si>
  <si>
    <t xml:space="preserve">4 - Estado no chão</t>
  </si>
  <si>
    <t xml:space="preserve">set_mode(mode, timeout)</t>
  </si>
  <si>
    <t xml:space="preserve">Os 14 modos suportados; minúsculas; nome inválido (ValueError); timeout</t>
  </si>
  <si>
    <t xml:space="preserve">flight.py</t>
  </si>
  <si>
    <t xml:space="preserve">arm(timeout)</t>
  </si>
  <si>
    <t xml:space="preserve">Sucesso; pre-arm falhando (erro deve incluir statustexts)</t>
  </si>
  <si>
    <t xml:space="preserve">disarm(timeout)</t>
  </si>
  <si>
    <t xml:space="preserve">No chão funciona; no ar o ArduPilot deve rejeitar</t>
  </si>
  <si>
    <t xml:space="preserve">5 - Voo básico (SITL)</t>
  </si>
  <si>
    <t xml:space="preserve">takeoff(altitude, timeout)</t>
  </si>
  <si>
    <t xml:space="preserve">Altitude explícita e a do construtor; &lt;= 0 (ValueError); timeout informa altura alcançada</t>
  </si>
  <si>
    <t xml:space="preserve">hold() após takeoff</t>
  </si>
  <si>
    <t xml:space="preserve">Mantém posição (velocidade NED zero contínua)</t>
  </si>
  <si>
    <t xml:space="preserve">motion.py</t>
  </si>
  <si>
    <t xml:space="preserve">pause()</t>
  </si>
  <si>
    <t xml:space="preserve">Entra em BRAKE e confirma por heartbeat</t>
  </si>
  <si>
    <t xml:space="preserve">loiter()</t>
  </si>
  <si>
    <t xml:space="preserve">Entra em LOITER e confirma por heartbeat</t>
  </si>
  <si>
    <t xml:space="preserve">land(speed_ms, timeout)</t>
  </si>
  <si>
    <t xml:space="preserve">Grava LAND_SPEED; espera o disarm; velocidade &lt;= 0 dá ValueError</t>
  </si>
  <si>
    <t xml:space="preserve">rtl()</t>
  </si>
  <si>
    <t xml:space="preserve">Fire-and-forget: confirmar por get_mode() e pela posição</t>
  </si>
  <si>
    <t xml:space="preserve">kill()</t>
  </si>
  <si>
    <t xml:space="preserve">SOMENTE no SITL, no chão e no ar (drone cai)</t>
  </si>
  <si>
    <t xml:space="preserve">6 - Setpoints não bloqueantes</t>
  </si>
  <si>
    <t xml:space="preserve">set_local_pose(n, e, d, yaw_deg)</t>
  </si>
  <si>
    <t xml:space="preserve">Com e sem yaw_deg; NaN/inf dá ValueError</t>
  </si>
  <si>
    <t xml:space="preserve">set_body_pose(fwd, right, down, yaw_deg)</t>
  </si>
  <si>
    <t xml:space="preserve">Offset rotacionado pelo yaw atual; sem posição local só loga warning e não envia</t>
  </si>
  <si>
    <t xml:space="preserve">set_global_pose(lat, lon, alt)</t>
  </si>
  <si>
    <t xml:space="preserve">Altitude negativa e coordenadas inválidas</t>
  </si>
  <si>
    <t xml:space="preserve">set_body_velocity(...)</t>
  </si>
  <si>
    <t xml:space="preserve">Retransmitido a ~20 Hz; yaw_rate=0 mantém o heading</t>
  </si>
  <si>
    <t xml:space="preserve">set_ned_velocity(...)</t>
  </si>
  <si>
    <t xml:space="preserve">Direção NED se mantém mesmo girando</t>
  </si>
  <si>
    <t xml:space="preserve">Substituição de comando</t>
  </si>
  <si>
    <t xml:space="preserve">Um comando novo cancela a retransmissão do anterior</t>
  </si>
  <si>
    <t xml:space="preserve">hold()</t>
  </si>
  <si>
    <t xml:space="preserve">Velocidade zero contínua</t>
  </si>
  <si>
    <t xml:space="preserve">stop()</t>
  </si>
  <si>
    <t xml:space="preserve">Não freia: o drone segue até o GUID_TIMEOUT</t>
  </si>
  <si>
    <t xml:space="preserve">Sair de GUIDED limpa alvos</t>
  </si>
  <si>
    <t xml:space="preserve">LOITER e volta a GUIDED: o alvo antigo não pode ressurgir</t>
  </si>
  <si>
    <t xml:space="preserve">7 - Navegação bloqueante</t>
  </si>
  <si>
    <t xml:space="preserve">wait_for_local_pose(...)</t>
  </si>
  <si>
    <t xml:space="preserve">Tolerância, tempo de settle e reset ao sair da tolerância</t>
  </si>
  <si>
    <t xml:space="preserve">goto_local(...)</t>
  </si>
  <si>
    <t xml:space="preserve">Chega ao alvo e retorna a posição final</t>
  </si>
  <si>
    <t xml:space="preserve">move_body(...)</t>
  </si>
  <si>
    <t xml:space="preserve">Offset convertido uma vez, no momento da chamada</t>
  </si>
  <si>
    <t xml:space="preserve">set_yaw(yaw_deg, ...)</t>
  </si>
  <si>
    <t xml:space="preserve">Wrap: 359° vs 1° = 2° de erro; tolerância; timeout</t>
  </si>
  <si>
    <t xml:space="preserve">goto_global(...)</t>
  </si>
  <si>
    <t xml:space="preserve">Tolerâncias horizontal e vertical</t>
  </si>
  <si>
    <t xml:space="preserve">orbit_local(...)</t>
  </si>
  <si>
    <t xml:space="preserve">yaw_behavior center/tangent/hold; horário e anti-horário; turns fracionário; on_progress; altitude mantida; hold() em todas as saídas</t>
  </si>
  <si>
    <t xml:space="preserve">MissionCancelToken nos helpers</t>
  </si>
  <si>
    <t xml:space="preserve">Cancelar de outra thread dá MissionCancelledError e hold()</t>
  </si>
  <si>
    <t xml:space="preserve">8 - Missões da companion</t>
  </si>
  <si>
    <t xml:space="preserve">LocalWaypoint / GlobalWaypoint</t>
  </si>
  <si>
    <t xml:space="preserve">Dataclasses imutáveis; validação só ao comandar</t>
  </si>
  <si>
    <t xml:space="preserve">types.py</t>
  </si>
  <si>
    <t xml:space="preserve">fly_local_waypoints(...)</t>
  </si>
  <si>
    <t xml:space="preserve">on_reached, on_progress (índice antes da perna), hold_s, cancelamento, timeout; sem RTL/LAND automático</t>
  </si>
  <si>
    <t xml:space="preserve">mission.py</t>
  </si>
  <si>
    <t xml:space="preserve">fly_global_waypoints(...)</t>
  </si>
  <si>
    <t xml:space="preserve">Mesmos casos da versão local</t>
  </si>
  <si>
    <t xml:space="preserve">MissionProgress</t>
  </si>
  <si>
    <t xml:space="preserve">Campos index, total e waypoint</t>
  </si>
  <si>
    <t xml:space="preserve">9 - Missões AUTO (no FC)</t>
  </si>
  <si>
    <t xml:space="preserve">AutoWaypoint</t>
  </si>
  <si>
    <t xml:space="preserve">Raio zero usa o default do ArduPilot</t>
  </si>
  <si>
    <t xml:space="preserve">upload_auto_mission(waypoints)</t>
  </si>
  <si>
    <t xml:space="preserve">Lista vazia; rejeição do FC; sequência inválida</t>
  </si>
  <si>
    <t xml:space="preserve">? (grep no repo)</t>
  </si>
  <si>
    <t xml:space="preserve">get_auto_mission_status()</t>
  </si>
  <si>
    <t xml:space="preserve">total fica desconhecido depois de reconectar</t>
  </si>
  <si>
    <t xml:space="preserve">start_auto_mission()</t>
  </si>
  <si>
    <t xml:space="preserve">Takeoff em GUIDED antes; confirma modo AUTO</t>
  </si>
  <si>
    <t xml:space="preserve">pause_auto_mission()</t>
  </si>
  <si>
    <t xml:space="preserve">ACK aceito</t>
  </si>
  <si>
    <t xml:space="preserve">resume_auto_mission()</t>
  </si>
  <si>
    <t xml:space="preserve">ACK aceito e missão retoma</t>
  </si>
  <si>
    <t xml:space="preserve">set_auto_mission_item(index)</t>
  </si>
  <si>
    <t xml:space="preserve">Confirmado via MISSION_CURRENT</t>
  </si>
  <si>
    <t xml:space="preserve">clear_auto_mission()</t>
  </si>
  <si>
    <t xml:space="preserve">ACK aceito e contagem zerada</t>
  </si>
  <si>
    <t xml:space="preserve">Derrubar o link no meio da missão</t>
  </si>
  <si>
    <t xml:space="preserve">A missão AUTO deve continuar sem a companion</t>
  </si>
  <si>
    <t xml:space="preserve">10 - Avançadas</t>
  </si>
  <si>
    <t xml:space="preserve">set_local_position_velocity(...)</t>
  </si>
  <si>
    <t xml:space="preserve">Trajeto mais suave que setpoints de posição soltos</t>
  </si>
  <si>
    <t xml:space="preserve">set_attitude_target(...)</t>
  </si>
  <si>
    <t xml:space="preserve">Ângulos limitados a ±90°; thrust=0.5 mantém altitude com GUID_OPTIONS padrão. API mais perigosa: só SITL</t>
  </si>
  <si>
    <t xml:space="preserve">clear_attitude_target()</t>
  </si>
  <si>
    <t xml:space="preserve">Não freia nem nivela: trocar logo para um modo seguro</t>
  </si>
  <si>
    <t xml:space="preserve">set_landing_target(...)</t>
  </si>
  <si>
    <t xml:space="preserve">Com PLND_ENABLED=1 e PLND_TYPE=1; publica a 10 Hz; target_num fora de 0-255 dá ValueError</t>
  </si>
  <si>
    <t xml:space="preserve">? motion.py ou commands.py</t>
  </si>
  <si>
    <t xml:space="preserve">clear_landing_target()</t>
  </si>
  <si>
    <t xml:space="preserve">Para o envio quando o pad some</t>
  </si>
  <si>
    <t xml:space="preserve">11 - Robustez</t>
  </si>
  <si>
    <t xml:space="preserve">Perda de link em voo</t>
  </si>
  <si>
    <t xml:space="preserve">Comportamento de velocidades retransmitidas, comandos bloqueantes e failsafe do FC</t>
  </si>
  <si>
    <t xml:space="preserve">ValueError em setpoints</t>
  </si>
  <si>
    <t xml:space="preserve">NaN, inf e fora de faixa em todos os setpoints</t>
  </si>
  <si>
    <t xml:space="preserve">Concorrência</t>
  </si>
  <si>
    <t xml:space="preserve">Duas threads usando a lib; send_command com o mesmo ID (não suportado)</t>
  </si>
  <si>
    <t xml:space="preserve">Mensagens de TimeoutError</t>
  </si>
  <si>
    <t xml:space="preserve">Cada uma é útil o bastante para diagnosticar</t>
  </si>
  <si>
    <t xml:space="preserve">todos</t>
  </si>
  <si>
    <t xml:space="preserve">12 - Hardware real</t>
  </si>
  <si>
    <t xml:space="preserve">Serial e permissões</t>
  </si>
  <si>
    <t xml:space="preserve">/dev/ttyACM0:115200 abre sem erro de permissão</t>
  </si>
  <si>
    <t xml:space="preserve">Fases 1 a 4 em bancada</t>
  </si>
  <si>
    <t xml:space="preserve">Repetir sem hélices</t>
  </si>
  <si>
    <t xml:space="preserve">Documentos de segurança</t>
  </si>
  <si>
    <t xml:space="preserve">Ler MISSION_SAFETY.md e CONNECTIONS.md antes do primeiro voo</t>
  </si>
  <si>
    <t xml:space="preserve">Voo real com piloto de segurança</t>
  </si>
  <si>
    <t xml:space="preserve">Rádio em mãos; repetir a Fase 5 e o esqueleto de missão completo da doc</t>
  </si>
  <si>
    <t xml:space="preserve">Armadilhas da doc</t>
  </si>
  <si>
    <t xml:space="preserve">Fire-and-forget sem confirmação</t>
  </si>
  <si>
    <t xml:space="preserve">rtl(), kill(), set_servo(), set_parameter(): cada um precisa de verificação externa</t>
  </si>
  <si>
    <t xml:space="preserve">Referências de altitude diferentes</t>
  </si>
  <si>
    <t xml:space="preserve">get_altitude() mistura rangefinder, relativa e NED; get_home_position() é MSL; goto_global() usa altura sobre a home</t>
  </si>
  <si>
    <t xml:space="preserve">Yaw absoluto</t>
  </si>
  <si>
    <t xml:space="preserve">set_body_pose e move_body recebem heading absoluto, não giro relativo</t>
  </si>
  <si>
    <t xml:space="preserve">Unidades</t>
  </si>
  <si>
    <t xml:space="preserve">get_attitude() devolve radianos; o resto usa graus</t>
  </si>
  <si>
    <t xml:space="preserve">Total</t>
  </si>
  <si>
    <t xml:space="preserve">OK</t>
  </si>
  <si>
    <t xml:space="preserve">Falhou</t>
  </si>
  <si>
    <t xml:space="preserve">Em teste</t>
  </si>
  <si>
    <t xml:space="preserve">N/A</t>
  </si>
  <si>
    <t xml:space="preserve">% concluído</t>
  </si>
  <si>
    <t xml:space="preserve">TOTAL</t>
  </si>
  <si>
    <t xml:space="preserve">% concluído = OK ÷ (Total − N/A). Os números atualizam sozinhos conforme a coluna Status da aba Checklist.</t>
  </si>
  <si>
    <t xml:space="preserve">Como usar</t>
  </si>
  <si>
    <t xml:space="preserve">Edite apenas</t>
  </si>
  <si>
    <t xml:space="preserve">Colunas Status, Data, Responsável e Observações (G a J) da aba Checklist.</t>
  </si>
  <si>
    <t xml:space="preserve">Pendente (padrão) · Em teste · OK · Falhou · N/A. Escolha pela lista suspensa.</t>
  </si>
  <si>
    <t xml:space="preserve">SITL, Hardware ou Ambos. Itens marcados Hardware só validam no drone real.</t>
  </si>
  <si>
    <t xml:space="preserve">Ordem</t>
  </si>
  <si>
    <t xml:space="preserve">Siga as fases de cima para baixo: cada uma depende da anterior. Se a Fase 1 falha, não vale testar o resto.</t>
  </si>
  <si>
    <t xml:space="preserve">Onde mexer se o item falhar, segundo o doc de arquitetura. Itens com '?' são inferência: confirme com grep antes.</t>
  </si>
  <si>
    <t xml:space="preserve">Resumo</t>
  </si>
  <si>
    <t xml:space="preserve">A aba Resumo é calculada por fórmulas a partir da coluna Status; não edite à mão.</t>
  </si>
  <si>
    <t xml:space="preserve">Exemplo de linha preenchida</t>
  </si>
  <si>
    <t xml:space="preserve">14/10/2026</t>
  </si>
  <si>
    <t xml:space="preserve">Maria</t>
  </si>
  <si>
    <t xml:space="preserve">takeoff(2.5) deu TimeoutError com só 1.1 m alcançados; conferir recent_statustexts() e a posição local.</t>
  </si>
  <si>
    <t xml:space="preserve">Fonte</t>
  </si>
  <si>
    <t xml:space="preserve">Plano de testes montado a partir do API reference e do doc de arquitetura da SkyMAVLink fornecidos na conversa.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</si>
</sst>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color rgb="FF595959"/>
      </font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62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4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5"/>
      <c r="I2" s="3"/>
      <c r="J2" s="3"/>
    </row>
    <row r="3" customFormat="false" ht="23.85" hidden="false" customHeight="false" outlineLevel="0" collapsed="false">
      <c r="A3" s="2" t="n">
        <v>2</v>
      </c>
      <c r="B3" s="3" t="s">
        <v>10</v>
      </c>
      <c r="C3" s="4" t="s">
        <v>16</v>
      </c>
      <c r="D3" s="3" t="s">
        <v>17</v>
      </c>
      <c r="E3" s="2" t="s">
        <v>13</v>
      </c>
      <c r="F3" s="2" t="s">
        <v>18</v>
      </c>
      <c r="G3" s="2" t="s">
        <v>15</v>
      </c>
      <c r="H3" s="5"/>
      <c r="I3" s="3"/>
      <c r="J3" s="3"/>
    </row>
    <row r="4" customFormat="false" ht="23.85" hidden="false" customHeight="false" outlineLevel="0" collapsed="false">
      <c r="A4" s="2" t="n">
        <v>3</v>
      </c>
      <c r="B4" s="3" t="s">
        <v>10</v>
      </c>
      <c r="C4" s="4" t="s">
        <v>19</v>
      </c>
      <c r="D4" s="3" t="s">
        <v>20</v>
      </c>
      <c r="E4" s="2" t="s">
        <v>13</v>
      </c>
      <c r="F4" s="2" t="s">
        <v>21</v>
      </c>
      <c r="G4" s="2" t="s">
        <v>15</v>
      </c>
      <c r="H4" s="5"/>
      <c r="I4" s="3"/>
      <c r="J4" s="3"/>
    </row>
    <row r="5" customFormat="false" ht="23.85" hidden="false" customHeight="false" outlineLevel="0" collapsed="false">
      <c r="A5" s="2" t="n">
        <v>4</v>
      </c>
      <c r="B5" s="3" t="s">
        <v>22</v>
      </c>
      <c r="C5" s="4" t="s">
        <v>23</v>
      </c>
      <c r="D5" s="3" t="s">
        <v>24</v>
      </c>
      <c r="E5" s="2" t="s">
        <v>25</v>
      </c>
      <c r="F5" s="2" t="s">
        <v>18</v>
      </c>
      <c r="G5" s="2" t="s">
        <v>15</v>
      </c>
      <c r="H5" s="5"/>
      <c r="I5" s="3"/>
      <c r="J5" s="3"/>
    </row>
    <row r="6" customFormat="false" ht="15" hidden="false" customHeight="false" outlineLevel="0" collapsed="false">
      <c r="A6" s="2" t="n">
        <v>5</v>
      </c>
      <c r="B6" s="3" t="s">
        <v>22</v>
      </c>
      <c r="C6" s="4" t="s">
        <v>26</v>
      </c>
      <c r="D6" s="3" t="s">
        <v>27</v>
      </c>
      <c r="E6" s="2" t="s">
        <v>25</v>
      </c>
      <c r="F6" s="2" t="s">
        <v>18</v>
      </c>
      <c r="G6" s="2" t="s">
        <v>15</v>
      </c>
      <c r="H6" s="5"/>
      <c r="I6" s="3"/>
      <c r="J6" s="3"/>
    </row>
    <row r="7" customFormat="false" ht="23.85" hidden="false" customHeight="false" outlineLevel="0" collapsed="false">
      <c r="A7" s="2" t="n">
        <v>6</v>
      </c>
      <c r="B7" s="3" t="s">
        <v>22</v>
      </c>
      <c r="C7" s="4" t="s">
        <v>28</v>
      </c>
      <c r="D7" s="3" t="s">
        <v>29</v>
      </c>
      <c r="E7" s="2" t="s">
        <v>25</v>
      </c>
      <c r="F7" s="2" t="s">
        <v>18</v>
      </c>
      <c r="G7" s="2" t="s">
        <v>15</v>
      </c>
      <c r="H7" s="5"/>
      <c r="I7" s="3"/>
      <c r="J7" s="3"/>
    </row>
    <row r="8" customFormat="false" ht="15" hidden="false" customHeight="false" outlineLevel="0" collapsed="false">
      <c r="A8" s="2" t="n">
        <v>7</v>
      </c>
      <c r="B8" s="3" t="s">
        <v>22</v>
      </c>
      <c r="C8" s="4" t="s">
        <v>30</v>
      </c>
      <c r="D8" s="3" t="s">
        <v>31</v>
      </c>
      <c r="E8" s="2" t="s">
        <v>25</v>
      </c>
      <c r="F8" s="2" t="s">
        <v>18</v>
      </c>
      <c r="G8" s="2" t="s">
        <v>15</v>
      </c>
      <c r="H8" s="5"/>
      <c r="I8" s="3"/>
      <c r="J8" s="3"/>
    </row>
    <row r="9" customFormat="false" ht="15" hidden="false" customHeight="false" outlineLevel="0" collapsed="false">
      <c r="A9" s="2" t="n">
        <v>8</v>
      </c>
      <c r="B9" s="3" t="s">
        <v>22</v>
      </c>
      <c r="C9" s="4" t="s">
        <v>32</v>
      </c>
      <c r="D9" s="3" t="s">
        <v>33</v>
      </c>
      <c r="E9" s="2" t="s">
        <v>25</v>
      </c>
      <c r="F9" s="2" t="s">
        <v>18</v>
      </c>
      <c r="G9" s="2" t="s">
        <v>15</v>
      </c>
      <c r="H9" s="5"/>
      <c r="I9" s="3"/>
      <c r="J9" s="3"/>
    </row>
    <row r="10" customFormat="false" ht="23.85" hidden="false" customHeight="false" outlineLevel="0" collapsed="false">
      <c r="A10" s="2" t="n">
        <v>9</v>
      </c>
      <c r="B10" s="3" t="s">
        <v>22</v>
      </c>
      <c r="C10" s="4" t="s">
        <v>34</v>
      </c>
      <c r="D10" s="3" t="s">
        <v>35</v>
      </c>
      <c r="E10" s="2" t="s">
        <v>25</v>
      </c>
      <c r="F10" s="2" t="s">
        <v>18</v>
      </c>
      <c r="G10" s="2" t="s">
        <v>15</v>
      </c>
      <c r="H10" s="5"/>
      <c r="I10" s="3"/>
      <c r="J10" s="3"/>
    </row>
    <row r="11" customFormat="false" ht="15" hidden="false" customHeight="false" outlineLevel="0" collapsed="false">
      <c r="A11" s="2" t="n">
        <v>10</v>
      </c>
      <c r="B11" s="3" t="s">
        <v>22</v>
      </c>
      <c r="C11" s="4" t="s">
        <v>36</v>
      </c>
      <c r="D11" s="3" t="s">
        <v>37</v>
      </c>
      <c r="E11" s="2" t="s">
        <v>25</v>
      </c>
      <c r="F11" s="2" t="s">
        <v>18</v>
      </c>
      <c r="G11" s="2" t="s">
        <v>15</v>
      </c>
      <c r="H11" s="5"/>
      <c r="I11" s="3"/>
      <c r="J11" s="3"/>
    </row>
    <row r="12" customFormat="false" ht="15" hidden="false" customHeight="false" outlineLevel="0" collapsed="false">
      <c r="A12" s="2" t="n">
        <v>11</v>
      </c>
      <c r="B12" s="3" t="s">
        <v>22</v>
      </c>
      <c r="C12" s="4" t="s">
        <v>38</v>
      </c>
      <c r="D12" s="3" t="s">
        <v>39</v>
      </c>
      <c r="E12" s="2" t="s">
        <v>25</v>
      </c>
      <c r="F12" s="2" t="s">
        <v>18</v>
      </c>
      <c r="G12" s="2" t="s">
        <v>15</v>
      </c>
      <c r="H12" s="5"/>
      <c r="I12" s="3"/>
      <c r="J12" s="3"/>
    </row>
    <row r="13" customFormat="false" ht="15" hidden="false" customHeight="false" outlineLevel="0" collapsed="false">
      <c r="A13" s="2" t="n">
        <v>12</v>
      </c>
      <c r="B13" s="3" t="s">
        <v>22</v>
      </c>
      <c r="C13" s="4" t="s">
        <v>40</v>
      </c>
      <c r="D13" s="3" t="s">
        <v>41</v>
      </c>
      <c r="E13" s="2" t="s">
        <v>25</v>
      </c>
      <c r="F13" s="2" t="s">
        <v>18</v>
      </c>
      <c r="G13" s="2" t="s">
        <v>15</v>
      </c>
      <c r="H13" s="5"/>
      <c r="I13" s="3"/>
      <c r="J13" s="3"/>
    </row>
    <row r="14" customFormat="false" ht="15" hidden="false" customHeight="false" outlineLevel="0" collapsed="false">
      <c r="A14" s="2" t="n">
        <v>13</v>
      </c>
      <c r="B14" s="3" t="s">
        <v>22</v>
      </c>
      <c r="C14" s="4" t="s">
        <v>42</v>
      </c>
      <c r="D14" s="3" t="s">
        <v>43</v>
      </c>
      <c r="E14" s="2" t="s">
        <v>25</v>
      </c>
      <c r="F14" s="2" t="s">
        <v>18</v>
      </c>
      <c r="G14" s="2" t="s">
        <v>15</v>
      </c>
      <c r="H14" s="5"/>
      <c r="I14" s="3"/>
      <c r="J14" s="3"/>
    </row>
    <row r="15" customFormat="false" ht="15" hidden="false" customHeight="false" outlineLevel="0" collapsed="false">
      <c r="A15" s="2" t="n">
        <v>14</v>
      </c>
      <c r="B15" s="3" t="s">
        <v>44</v>
      </c>
      <c r="C15" s="4" t="s">
        <v>45</v>
      </c>
      <c r="D15" s="3" t="s">
        <v>46</v>
      </c>
      <c r="E15" s="2" t="s">
        <v>25</v>
      </c>
      <c r="F15" s="2" t="s">
        <v>18</v>
      </c>
      <c r="G15" s="2" t="s">
        <v>15</v>
      </c>
      <c r="H15" s="5"/>
      <c r="I15" s="3"/>
      <c r="J15" s="3"/>
    </row>
    <row r="16" customFormat="false" ht="15" hidden="false" customHeight="false" outlineLevel="0" collapsed="false">
      <c r="A16" s="2" t="n">
        <v>15</v>
      </c>
      <c r="B16" s="3" t="s">
        <v>44</v>
      </c>
      <c r="C16" s="4" t="s">
        <v>47</v>
      </c>
      <c r="D16" s="3" t="s">
        <v>48</v>
      </c>
      <c r="E16" s="2" t="s">
        <v>25</v>
      </c>
      <c r="F16" s="2" t="s">
        <v>18</v>
      </c>
      <c r="G16" s="2" t="s">
        <v>15</v>
      </c>
      <c r="H16" s="5"/>
      <c r="I16" s="3"/>
      <c r="J16" s="3"/>
    </row>
    <row r="17" customFormat="false" ht="15" hidden="false" customHeight="false" outlineLevel="0" collapsed="false">
      <c r="A17" s="2" t="n">
        <v>16</v>
      </c>
      <c r="B17" s="3" t="s">
        <v>44</v>
      </c>
      <c r="C17" s="4" t="s">
        <v>49</v>
      </c>
      <c r="D17" s="3" t="s">
        <v>50</v>
      </c>
      <c r="E17" s="2" t="s">
        <v>25</v>
      </c>
      <c r="F17" s="2" t="s">
        <v>18</v>
      </c>
      <c r="G17" s="2" t="s">
        <v>15</v>
      </c>
      <c r="H17" s="5"/>
      <c r="I17" s="3"/>
      <c r="J17" s="3"/>
    </row>
    <row r="18" customFormat="false" ht="15" hidden="false" customHeight="false" outlineLevel="0" collapsed="false">
      <c r="A18" s="2" t="n">
        <v>17</v>
      </c>
      <c r="B18" s="3" t="s">
        <v>44</v>
      </c>
      <c r="C18" s="4" t="s">
        <v>51</v>
      </c>
      <c r="D18" s="3" t="s">
        <v>52</v>
      </c>
      <c r="E18" s="2" t="s">
        <v>25</v>
      </c>
      <c r="F18" s="2" t="s">
        <v>18</v>
      </c>
      <c r="G18" s="2" t="s">
        <v>15</v>
      </c>
      <c r="H18" s="5"/>
      <c r="I18" s="3"/>
      <c r="J18" s="3"/>
    </row>
    <row r="19" customFormat="false" ht="15" hidden="false" customHeight="false" outlineLevel="0" collapsed="false">
      <c r="A19" s="2" t="n">
        <v>18</v>
      </c>
      <c r="B19" s="3" t="s">
        <v>44</v>
      </c>
      <c r="C19" s="4" t="s">
        <v>53</v>
      </c>
      <c r="D19" s="3" t="s">
        <v>54</v>
      </c>
      <c r="E19" s="2" t="s">
        <v>25</v>
      </c>
      <c r="F19" s="2" t="s">
        <v>18</v>
      </c>
      <c r="G19" s="2" t="s">
        <v>15</v>
      </c>
      <c r="H19" s="5"/>
      <c r="I19" s="3"/>
      <c r="J19" s="3"/>
    </row>
    <row r="20" customFormat="false" ht="15" hidden="false" customHeight="false" outlineLevel="0" collapsed="false">
      <c r="A20" s="2" t="n">
        <v>19</v>
      </c>
      <c r="B20" s="3" t="s">
        <v>44</v>
      </c>
      <c r="C20" s="4" t="s">
        <v>55</v>
      </c>
      <c r="D20" s="3" t="s">
        <v>56</v>
      </c>
      <c r="E20" s="2" t="s">
        <v>25</v>
      </c>
      <c r="F20" s="2" t="s">
        <v>18</v>
      </c>
      <c r="G20" s="2" t="s">
        <v>15</v>
      </c>
      <c r="H20" s="5"/>
      <c r="I20" s="3"/>
      <c r="J20" s="3"/>
    </row>
    <row r="21" customFormat="false" ht="15" hidden="false" customHeight="false" outlineLevel="0" collapsed="false">
      <c r="A21" s="2" t="n">
        <v>20</v>
      </c>
      <c r="B21" s="3" t="s">
        <v>44</v>
      </c>
      <c r="C21" s="4" t="s">
        <v>57</v>
      </c>
      <c r="D21" s="3" t="s">
        <v>58</v>
      </c>
      <c r="E21" s="2" t="s">
        <v>25</v>
      </c>
      <c r="F21" s="2" t="s">
        <v>18</v>
      </c>
      <c r="G21" s="2" t="s">
        <v>15</v>
      </c>
      <c r="H21" s="5"/>
      <c r="I21" s="3"/>
      <c r="J21" s="3"/>
    </row>
    <row r="22" customFormat="false" ht="15" hidden="false" customHeight="false" outlineLevel="0" collapsed="false">
      <c r="A22" s="2" t="n">
        <v>21</v>
      </c>
      <c r="B22" s="3" t="s">
        <v>44</v>
      </c>
      <c r="C22" s="4" t="s">
        <v>59</v>
      </c>
      <c r="D22" s="3" t="s">
        <v>60</v>
      </c>
      <c r="E22" s="2" t="s">
        <v>25</v>
      </c>
      <c r="F22" s="2" t="s">
        <v>18</v>
      </c>
      <c r="G22" s="2" t="s">
        <v>15</v>
      </c>
      <c r="H22" s="5"/>
      <c r="I22" s="3"/>
      <c r="J22" s="3"/>
    </row>
    <row r="23" customFormat="false" ht="15" hidden="false" customHeight="false" outlineLevel="0" collapsed="false">
      <c r="A23" s="2" t="n">
        <v>22</v>
      </c>
      <c r="B23" s="3" t="s">
        <v>44</v>
      </c>
      <c r="C23" s="4" t="s">
        <v>61</v>
      </c>
      <c r="D23" s="3" t="s">
        <v>62</v>
      </c>
      <c r="E23" s="2" t="s">
        <v>25</v>
      </c>
      <c r="F23" s="2" t="s">
        <v>18</v>
      </c>
      <c r="G23" s="2" t="s">
        <v>15</v>
      </c>
      <c r="H23" s="5"/>
      <c r="I23" s="3"/>
      <c r="J23" s="3"/>
    </row>
    <row r="24" customFormat="false" ht="15" hidden="false" customHeight="false" outlineLevel="0" collapsed="false">
      <c r="A24" s="2" t="n">
        <v>23</v>
      </c>
      <c r="B24" s="3" t="s">
        <v>44</v>
      </c>
      <c r="C24" s="4" t="s">
        <v>63</v>
      </c>
      <c r="D24" s="3" t="s">
        <v>64</v>
      </c>
      <c r="E24" s="2" t="s">
        <v>25</v>
      </c>
      <c r="F24" s="2" t="s">
        <v>18</v>
      </c>
      <c r="G24" s="2" t="s">
        <v>15</v>
      </c>
      <c r="H24" s="5"/>
      <c r="I24" s="3"/>
      <c r="J24" s="3"/>
    </row>
    <row r="25" customFormat="false" ht="15" hidden="false" customHeight="false" outlineLevel="0" collapsed="false">
      <c r="A25" s="2" t="n">
        <v>24</v>
      </c>
      <c r="B25" s="3" t="s">
        <v>44</v>
      </c>
      <c r="C25" s="4" t="s">
        <v>65</v>
      </c>
      <c r="D25" s="3" t="s">
        <v>66</v>
      </c>
      <c r="E25" s="2" t="s">
        <v>25</v>
      </c>
      <c r="F25" s="2" t="s">
        <v>18</v>
      </c>
      <c r="G25" s="2" t="s">
        <v>15</v>
      </c>
      <c r="H25" s="5"/>
      <c r="I25" s="3"/>
      <c r="J25" s="3"/>
    </row>
    <row r="26" customFormat="false" ht="15" hidden="false" customHeight="false" outlineLevel="0" collapsed="false">
      <c r="A26" s="2" t="n">
        <v>25</v>
      </c>
      <c r="B26" s="3" t="s">
        <v>44</v>
      </c>
      <c r="C26" s="4" t="s">
        <v>67</v>
      </c>
      <c r="D26" s="3" t="s">
        <v>68</v>
      </c>
      <c r="E26" s="2" t="s">
        <v>25</v>
      </c>
      <c r="F26" s="2" t="s">
        <v>18</v>
      </c>
      <c r="G26" s="2" t="s">
        <v>15</v>
      </c>
      <c r="H26" s="5"/>
      <c r="I26" s="3"/>
      <c r="J26" s="3"/>
    </row>
    <row r="27" customFormat="false" ht="15" hidden="false" customHeight="false" outlineLevel="0" collapsed="false">
      <c r="A27" s="2" t="n">
        <v>26</v>
      </c>
      <c r="B27" s="3" t="s">
        <v>44</v>
      </c>
      <c r="C27" s="4" t="s">
        <v>69</v>
      </c>
      <c r="D27" s="3" t="s">
        <v>70</v>
      </c>
      <c r="E27" s="2" t="s">
        <v>25</v>
      </c>
      <c r="F27" s="2" t="s">
        <v>21</v>
      </c>
      <c r="G27" s="2" t="s">
        <v>15</v>
      </c>
      <c r="H27" s="5"/>
      <c r="I27" s="3"/>
      <c r="J27" s="3"/>
    </row>
    <row r="28" customFormat="false" ht="15" hidden="false" customHeight="false" outlineLevel="0" collapsed="false">
      <c r="A28" s="2" t="n">
        <v>27</v>
      </c>
      <c r="B28" s="3" t="s">
        <v>44</v>
      </c>
      <c r="C28" s="4" t="s">
        <v>71</v>
      </c>
      <c r="D28" s="3" t="s">
        <v>72</v>
      </c>
      <c r="E28" s="2" t="s">
        <v>25</v>
      </c>
      <c r="F28" s="2" t="s">
        <v>18</v>
      </c>
      <c r="G28" s="2" t="s">
        <v>15</v>
      </c>
      <c r="H28" s="5"/>
      <c r="I28" s="3"/>
      <c r="J28" s="3"/>
    </row>
    <row r="29" customFormat="false" ht="15" hidden="false" customHeight="false" outlineLevel="0" collapsed="false">
      <c r="A29" s="2" t="n">
        <v>28</v>
      </c>
      <c r="B29" s="3" t="s">
        <v>44</v>
      </c>
      <c r="C29" s="4" t="s">
        <v>73</v>
      </c>
      <c r="D29" s="3" t="s">
        <v>74</v>
      </c>
      <c r="E29" s="2" t="s">
        <v>25</v>
      </c>
      <c r="F29" s="2" t="s">
        <v>18</v>
      </c>
      <c r="G29" s="2" t="s">
        <v>15</v>
      </c>
      <c r="H29" s="5"/>
      <c r="I29" s="3"/>
      <c r="J29" s="3"/>
    </row>
    <row r="30" customFormat="false" ht="15" hidden="false" customHeight="false" outlineLevel="0" collapsed="false">
      <c r="A30" s="2" t="n">
        <v>29</v>
      </c>
      <c r="B30" s="3" t="s">
        <v>44</v>
      </c>
      <c r="C30" s="4" t="s">
        <v>75</v>
      </c>
      <c r="D30" s="3" t="s">
        <v>76</v>
      </c>
      <c r="E30" s="2" t="s">
        <v>25</v>
      </c>
      <c r="F30" s="2" t="s">
        <v>18</v>
      </c>
      <c r="G30" s="2" t="s">
        <v>15</v>
      </c>
      <c r="H30" s="5"/>
      <c r="I30" s="3"/>
      <c r="J30" s="3"/>
    </row>
    <row r="31" customFormat="false" ht="15" hidden="false" customHeight="false" outlineLevel="0" collapsed="false">
      <c r="A31" s="2" t="n">
        <v>30</v>
      </c>
      <c r="B31" s="3" t="s">
        <v>44</v>
      </c>
      <c r="C31" s="4" t="s">
        <v>77</v>
      </c>
      <c r="D31" s="3" t="s">
        <v>78</v>
      </c>
      <c r="E31" s="2" t="s">
        <v>25</v>
      </c>
      <c r="F31" s="2" t="s">
        <v>18</v>
      </c>
      <c r="G31" s="2" t="s">
        <v>15</v>
      </c>
      <c r="H31" s="5"/>
      <c r="I31" s="3"/>
      <c r="J31" s="3"/>
    </row>
    <row r="32" customFormat="false" ht="15" hidden="false" customHeight="false" outlineLevel="0" collapsed="false">
      <c r="A32" s="2" t="n">
        <v>31</v>
      </c>
      <c r="B32" s="3" t="s">
        <v>44</v>
      </c>
      <c r="C32" s="4" t="s">
        <v>79</v>
      </c>
      <c r="D32" s="3" t="s">
        <v>80</v>
      </c>
      <c r="E32" s="2" t="s">
        <v>25</v>
      </c>
      <c r="F32" s="2" t="s">
        <v>18</v>
      </c>
      <c r="G32" s="2" t="s">
        <v>15</v>
      </c>
      <c r="H32" s="5"/>
      <c r="I32" s="3"/>
      <c r="J32" s="3"/>
    </row>
    <row r="33" customFormat="false" ht="23.85" hidden="false" customHeight="false" outlineLevel="0" collapsed="false">
      <c r="A33" s="2" t="n">
        <v>32</v>
      </c>
      <c r="B33" s="3" t="s">
        <v>44</v>
      </c>
      <c r="C33" s="4" t="s">
        <v>81</v>
      </c>
      <c r="D33" s="3" t="s">
        <v>82</v>
      </c>
      <c r="E33" s="2" t="s">
        <v>25</v>
      </c>
      <c r="F33" s="2" t="s">
        <v>18</v>
      </c>
      <c r="G33" s="2" t="s">
        <v>15</v>
      </c>
      <c r="H33" s="5"/>
      <c r="I33" s="3"/>
      <c r="J33" s="3"/>
    </row>
    <row r="34" customFormat="false" ht="23.85" hidden="false" customHeight="false" outlineLevel="0" collapsed="false">
      <c r="A34" s="2" t="n">
        <v>33</v>
      </c>
      <c r="B34" s="3" t="s">
        <v>83</v>
      </c>
      <c r="C34" s="4" t="s">
        <v>84</v>
      </c>
      <c r="D34" s="3" t="s">
        <v>85</v>
      </c>
      <c r="E34" s="2" t="s">
        <v>86</v>
      </c>
      <c r="F34" s="2" t="s">
        <v>18</v>
      </c>
      <c r="G34" s="2" t="s">
        <v>15</v>
      </c>
      <c r="H34" s="5"/>
      <c r="I34" s="3"/>
      <c r="J34" s="3"/>
    </row>
    <row r="35" customFormat="false" ht="23.85" hidden="false" customHeight="false" outlineLevel="0" collapsed="false">
      <c r="A35" s="2" t="n">
        <v>34</v>
      </c>
      <c r="B35" s="3" t="s">
        <v>83</v>
      </c>
      <c r="C35" s="4" t="s">
        <v>87</v>
      </c>
      <c r="D35" s="3" t="s">
        <v>88</v>
      </c>
      <c r="E35" s="2" t="s">
        <v>86</v>
      </c>
      <c r="F35" s="2" t="s">
        <v>18</v>
      </c>
      <c r="G35" s="2" t="s">
        <v>15</v>
      </c>
      <c r="H35" s="5"/>
      <c r="I35" s="3"/>
      <c r="J35" s="3"/>
    </row>
    <row r="36" customFormat="false" ht="23.85" hidden="false" customHeight="false" outlineLevel="0" collapsed="false">
      <c r="A36" s="2" t="n">
        <v>35</v>
      </c>
      <c r="B36" s="3" t="s">
        <v>83</v>
      </c>
      <c r="C36" s="4" t="s">
        <v>89</v>
      </c>
      <c r="D36" s="3" t="s">
        <v>90</v>
      </c>
      <c r="E36" s="2" t="s">
        <v>86</v>
      </c>
      <c r="F36" s="2" t="s">
        <v>18</v>
      </c>
      <c r="G36" s="2" t="s">
        <v>15</v>
      </c>
      <c r="H36" s="5"/>
      <c r="I36" s="3"/>
      <c r="J36" s="3"/>
    </row>
    <row r="37" customFormat="false" ht="23.85" hidden="false" customHeight="false" outlineLevel="0" collapsed="false">
      <c r="A37" s="2" t="n">
        <v>36</v>
      </c>
      <c r="B37" s="3" t="s">
        <v>83</v>
      </c>
      <c r="C37" s="4" t="s">
        <v>91</v>
      </c>
      <c r="D37" s="3" t="s">
        <v>92</v>
      </c>
      <c r="E37" s="2" t="s">
        <v>86</v>
      </c>
      <c r="F37" s="2" t="s">
        <v>18</v>
      </c>
      <c r="G37" s="2" t="s">
        <v>15</v>
      </c>
      <c r="H37" s="5"/>
      <c r="I37" s="3"/>
      <c r="J37" s="3"/>
    </row>
    <row r="38" customFormat="false" ht="23.85" hidden="false" customHeight="false" outlineLevel="0" collapsed="false">
      <c r="A38" s="2" t="n">
        <v>37</v>
      </c>
      <c r="B38" s="3" t="s">
        <v>83</v>
      </c>
      <c r="C38" s="4" t="s">
        <v>93</v>
      </c>
      <c r="D38" s="3" t="s">
        <v>94</v>
      </c>
      <c r="E38" s="2" t="s">
        <v>86</v>
      </c>
      <c r="F38" s="2" t="s">
        <v>18</v>
      </c>
      <c r="G38" s="2" t="s">
        <v>15</v>
      </c>
      <c r="H38" s="5"/>
      <c r="I38" s="3"/>
      <c r="J38" s="3"/>
    </row>
    <row r="39" customFormat="false" ht="23.85" hidden="false" customHeight="false" outlineLevel="0" collapsed="false">
      <c r="A39" s="2" t="n">
        <v>38</v>
      </c>
      <c r="B39" s="3" t="s">
        <v>83</v>
      </c>
      <c r="C39" s="4" t="s">
        <v>95</v>
      </c>
      <c r="D39" s="3" t="s">
        <v>96</v>
      </c>
      <c r="E39" s="2" t="s">
        <v>86</v>
      </c>
      <c r="F39" s="2" t="s">
        <v>18</v>
      </c>
      <c r="G39" s="2" t="s">
        <v>15</v>
      </c>
      <c r="H39" s="5"/>
      <c r="I39" s="3"/>
      <c r="J39" s="3"/>
    </row>
    <row r="40" customFormat="false" ht="23.85" hidden="false" customHeight="false" outlineLevel="0" collapsed="false">
      <c r="A40" s="2" t="n">
        <v>39</v>
      </c>
      <c r="B40" s="3" t="s">
        <v>83</v>
      </c>
      <c r="C40" s="4" t="s">
        <v>97</v>
      </c>
      <c r="D40" s="3" t="s">
        <v>98</v>
      </c>
      <c r="E40" s="2" t="s">
        <v>86</v>
      </c>
      <c r="F40" s="2" t="s">
        <v>18</v>
      </c>
      <c r="G40" s="2" t="s">
        <v>15</v>
      </c>
      <c r="H40" s="5"/>
      <c r="I40" s="3"/>
      <c r="J40" s="3"/>
    </row>
    <row r="41" customFormat="false" ht="23.85" hidden="false" customHeight="false" outlineLevel="0" collapsed="false">
      <c r="A41" s="2" t="n">
        <v>40</v>
      </c>
      <c r="B41" s="3" t="s">
        <v>83</v>
      </c>
      <c r="C41" s="4" t="s">
        <v>99</v>
      </c>
      <c r="D41" s="3" t="s">
        <v>100</v>
      </c>
      <c r="E41" s="2" t="s">
        <v>86</v>
      </c>
      <c r="F41" s="2" t="s">
        <v>18</v>
      </c>
      <c r="G41" s="2" t="s">
        <v>15</v>
      </c>
      <c r="H41" s="5"/>
      <c r="I41" s="3"/>
      <c r="J41" s="3"/>
    </row>
    <row r="42" customFormat="false" ht="23.85" hidden="false" customHeight="false" outlineLevel="0" collapsed="false">
      <c r="A42" s="2" t="n">
        <v>41</v>
      </c>
      <c r="B42" s="3" t="s">
        <v>83</v>
      </c>
      <c r="C42" s="4" t="s">
        <v>101</v>
      </c>
      <c r="D42" s="3" t="s">
        <v>102</v>
      </c>
      <c r="E42" s="2" t="s">
        <v>86</v>
      </c>
      <c r="F42" s="2" t="s">
        <v>21</v>
      </c>
      <c r="G42" s="2" t="s">
        <v>15</v>
      </c>
      <c r="H42" s="5"/>
      <c r="I42" s="3"/>
      <c r="J42" s="3"/>
    </row>
    <row r="43" customFormat="false" ht="15" hidden="false" customHeight="false" outlineLevel="0" collapsed="false">
      <c r="A43" s="2" t="n">
        <v>42</v>
      </c>
      <c r="B43" s="3" t="s">
        <v>103</v>
      </c>
      <c r="C43" s="4" t="s">
        <v>104</v>
      </c>
      <c r="D43" s="3" t="s">
        <v>105</v>
      </c>
      <c r="E43" s="2" t="s">
        <v>106</v>
      </c>
      <c r="F43" s="2" t="s">
        <v>18</v>
      </c>
      <c r="G43" s="2" t="s">
        <v>15</v>
      </c>
      <c r="H43" s="5"/>
      <c r="I43" s="3"/>
      <c r="J43" s="3"/>
    </row>
    <row r="44" customFormat="false" ht="15" hidden="false" customHeight="false" outlineLevel="0" collapsed="false">
      <c r="A44" s="2" t="n">
        <v>43</v>
      </c>
      <c r="B44" s="3" t="s">
        <v>103</v>
      </c>
      <c r="C44" s="4" t="s">
        <v>107</v>
      </c>
      <c r="D44" s="3" t="s">
        <v>108</v>
      </c>
      <c r="E44" s="2" t="s">
        <v>106</v>
      </c>
      <c r="F44" s="2" t="s">
        <v>18</v>
      </c>
      <c r="G44" s="2" t="s">
        <v>15</v>
      </c>
      <c r="H44" s="5"/>
      <c r="I44" s="3"/>
      <c r="J44" s="3"/>
    </row>
    <row r="45" customFormat="false" ht="15" hidden="false" customHeight="false" outlineLevel="0" collapsed="false">
      <c r="A45" s="2" t="n">
        <v>44</v>
      </c>
      <c r="B45" s="3" t="s">
        <v>103</v>
      </c>
      <c r="C45" s="4" t="s">
        <v>109</v>
      </c>
      <c r="D45" s="3" t="s">
        <v>110</v>
      </c>
      <c r="E45" s="2" t="s">
        <v>106</v>
      </c>
      <c r="F45" s="2" t="s">
        <v>18</v>
      </c>
      <c r="G45" s="2" t="s">
        <v>15</v>
      </c>
      <c r="H45" s="5"/>
      <c r="I45" s="3"/>
      <c r="J45" s="3"/>
    </row>
    <row r="46" customFormat="false" ht="23.85" hidden="false" customHeight="false" outlineLevel="0" collapsed="false">
      <c r="A46" s="2" t="n">
        <v>45</v>
      </c>
      <c r="B46" s="3" t="s">
        <v>111</v>
      </c>
      <c r="C46" s="4" t="s">
        <v>112</v>
      </c>
      <c r="D46" s="3" t="s">
        <v>113</v>
      </c>
      <c r="E46" s="2" t="s">
        <v>106</v>
      </c>
      <c r="F46" s="2" t="s">
        <v>14</v>
      </c>
      <c r="G46" s="2" t="s">
        <v>15</v>
      </c>
      <c r="H46" s="5"/>
      <c r="I46" s="3"/>
      <c r="J46" s="3"/>
    </row>
    <row r="47" customFormat="false" ht="15" hidden="false" customHeight="false" outlineLevel="0" collapsed="false">
      <c r="A47" s="2" t="n">
        <v>46</v>
      </c>
      <c r="B47" s="3" t="s">
        <v>111</v>
      </c>
      <c r="C47" s="4" t="s">
        <v>114</v>
      </c>
      <c r="D47" s="3" t="s">
        <v>115</v>
      </c>
      <c r="E47" s="2" t="s">
        <v>116</v>
      </c>
      <c r="F47" s="2" t="s">
        <v>14</v>
      </c>
      <c r="G47" s="2" t="s">
        <v>15</v>
      </c>
      <c r="H47" s="5"/>
      <c r="I47" s="3"/>
      <c r="J47" s="3"/>
    </row>
    <row r="48" customFormat="false" ht="15" hidden="false" customHeight="false" outlineLevel="0" collapsed="false">
      <c r="A48" s="2" t="n">
        <v>47</v>
      </c>
      <c r="B48" s="3" t="s">
        <v>111</v>
      </c>
      <c r="C48" s="4" t="s">
        <v>117</v>
      </c>
      <c r="D48" s="3" t="s">
        <v>118</v>
      </c>
      <c r="E48" s="2" t="s">
        <v>106</v>
      </c>
      <c r="F48" s="2" t="s">
        <v>14</v>
      </c>
      <c r="G48" s="2" t="s">
        <v>15</v>
      </c>
      <c r="H48" s="5"/>
      <c r="I48" s="3"/>
      <c r="J48" s="3"/>
    </row>
    <row r="49" customFormat="false" ht="15" hidden="false" customHeight="false" outlineLevel="0" collapsed="false">
      <c r="A49" s="2" t="n">
        <v>48</v>
      </c>
      <c r="B49" s="3" t="s">
        <v>111</v>
      </c>
      <c r="C49" s="4" t="s">
        <v>119</v>
      </c>
      <c r="D49" s="3" t="s">
        <v>120</v>
      </c>
      <c r="E49" s="2" t="s">
        <v>106</v>
      </c>
      <c r="F49" s="2" t="s">
        <v>14</v>
      </c>
      <c r="G49" s="2" t="s">
        <v>15</v>
      </c>
      <c r="H49" s="5"/>
      <c r="I49" s="3"/>
      <c r="J49" s="3"/>
    </row>
    <row r="50" customFormat="false" ht="15" hidden="false" customHeight="false" outlineLevel="0" collapsed="false">
      <c r="A50" s="2" t="n">
        <v>49</v>
      </c>
      <c r="B50" s="3" t="s">
        <v>111</v>
      </c>
      <c r="C50" s="4" t="s">
        <v>121</v>
      </c>
      <c r="D50" s="3" t="s">
        <v>122</v>
      </c>
      <c r="E50" s="2" t="s">
        <v>106</v>
      </c>
      <c r="F50" s="2" t="s">
        <v>14</v>
      </c>
      <c r="G50" s="2" t="s">
        <v>15</v>
      </c>
      <c r="H50" s="5"/>
      <c r="I50" s="3"/>
      <c r="J50" s="3"/>
    </row>
    <row r="51" customFormat="false" ht="15" hidden="false" customHeight="false" outlineLevel="0" collapsed="false">
      <c r="A51" s="2" t="n">
        <v>50</v>
      </c>
      <c r="B51" s="3" t="s">
        <v>111</v>
      </c>
      <c r="C51" s="4" t="s">
        <v>123</v>
      </c>
      <c r="D51" s="3" t="s">
        <v>124</v>
      </c>
      <c r="E51" s="2" t="s">
        <v>106</v>
      </c>
      <c r="F51" s="2" t="s">
        <v>14</v>
      </c>
      <c r="G51" s="2" t="s">
        <v>15</v>
      </c>
      <c r="H51" s="5"/>
      <c r="I51" s="3"/>
      <c r="J51" s="3"/>
    </row>
    <row r="52" customFormat="false" ht="15" hidden="false" customHeight="false" outlineLevel="0" collapsed="false">
      <c r="A52" s="2" t="n">
        <v>51</v>
      </c>
      <c r="B52" s="3" t="s">
        <v>111</v>
      </c>
      <c r="C52" s="4" t="s">
        <v>125</v>
      </c>
      <c r="D52" s="3" t="s">
        <v>126</v>
      </c>
      <c r="E52" s="2" t="s">
        <v>106</v>
      </c>
      <c r="F52" s="2" t="s">
        <v>14</v>
      </c>
      <c r="G52" s="2" t="s">
        <v>15</v>
      </c>
      <c r="H52" s="5"/>
      <c r="I52" s="3"/>
      <c r="J52" s="3"/>
    </row>
    <row r="53" customFormat="false" ht="15" hidden="false" customHeight="false" outlineLevel="0" collapsed="false">
      <c r="A53" s="2" t="n">
        <v>52</v>
      </c>
      <c r="B53" s="3" t="s">
        <v>127</v>
      </c>
      <c r="C53" s="4" t="s">
        <v>128</v>
      </c>
      <c r="D53" s="3" t="s">
        <v>129</v>
      </c>
      <c r="E53" s="2" t="s">
        <v>116</v>
      </c>
      <c r="F53" s="2" t="s">
        <v>14</v>
      </c>
      <c r="G53" s="2" t="s">
        <v>15</v>
      </c>
      <c r="H53" s="5"/>
      <c r="I53" s="3"/>
      <c r="J53" s="3"/>
    </row>
    <row r="54" customFormat="false" ht="23.85" hidden="false" customHeight="false" outlineLevel="0" collapsed="false">
      <c r="A54" s="2" t="n">
        <v>53</v>
      </c>
      <c r="B54" s="3" t="s">
        <v>127</v>
      </c>
      <c r="C54" s="4" t="s">
        <v>130</v>
      </c>
      <c r="D54" s="3" t="s">
        <v>131</v>
      </c>
      <c r="E54" s="2" t="s">
        <v>116</v>
      </c>
      <c r="F54" s="2" t="s">
        <v>14</v>
      </c>
      <c r="G54" s="2" t="s">
        <v>15</v>
      </c>
      <c r="H54" s="5"/>
      <c r="I54" s="3"/>
      <c r="J54" s="3"/>
    </row>
    <row r="55" customFormat="false" ht="15" hidden="false" customHeight="false" outlineLevel="0" collapsed="false">
      <c r="A55" s="2" t="n">
        <v>54</v>
      </c>
      <c r="B55" s="3" t="s">
        <v>127</v>
      </c>
      <c r="C55" s="4" t="s">
        <v>132</v>
      </c>
      <c r="D55" s="3" t="s">
        <v>133</v>
      </c>
      <c r="E55" s="2" t="s">
        <v>116</v>
      </c>
      <c r="F55" s="2" t="s">
        <v>14</v>
      </c>
      <c r="G55" s="2" t="s">
        <v>15</v>
      </c>
      <c r="H55" s="5"/>
      <c r="I55" s="3"/>
      <c r="J55" s="3"/>
    </row>
    <row r="56" customFormat="false" ht="15" hidden="false" customHeight="false" outlineLevel="0" collapsed="false">
      <c r="A56" s="2" t="n">
        <v>55</v>
      </c>
      <c r="B56" s="3" t="s">
        <v>127</v>
      </c>
      <c r="C56" s="4" t="s">
        <v>134</v>
      </c>
      <c r="D56" s="3" t="s">
        <v>135</v>
      </c>
      <c r="E56" s="2" t="s">
        <v>116</v>
      </c>
      <c r="F56" s="2" t="s">
        <v>14</v>
      </c>
      <c r="G56" s="2" t="s">
        <v>15</v>
      </c>
      <c r="H56" s="5"/>
      <c r="I56" s="3"/>
      <c r="J56" s="3"/>
    </row>
    <row r="57" customFormat="false" ht="15" hidden="false" customHeight="false" outlineLevel="0" collapsed="false">
      <c r="A57" s="2" t="n">
        <v>56</v>
      </c>
      <c r="B57" s="3" t="s">
        <v>127</v>
      </c>
      <c r="C57" s="4" t="s">
        <v>136</v>
      </c>
      <c r="D57" s="3" t="s">
        <v>137</v>
      </c>
      <c r="E57" s="2" t="s">
        <v>116</v>
      </c>
      <c r="F57" s="2" t="s">
        <v>14</v>
      </c>
      <c r="G57" s="2" t="s">
        <v>15</v>
      </c>
      <c r="H57" s="5"/>
      <c r="I57" s="3"/>
      <c r="J57" s="3"/>
    </row>
    <row r="58" customFormat="false" ht="15" hidden="false" customHeight="false" outlineLevel="0" collapsed="false">
      <c r="A58" s="2" t="n">
        <v>57</v>
      </c>
      <c r="B58" s="3" t="s">
        <v>127</v>
      </c>
      <c r="C58" s="4" t="s">
        <v>138</v>
      </c>
      <c r="D58" s="3" t="s">
        <v>139</v>
      </c>
      <c r="E58" s="2" t="s">
        <v>116</v>
      </c>
      <c r="F58" s="2" t="s">
        <v>14</v>
      </c>
      <c r="G58" s="2" t="s">
        <v>15</v>
      </c>
      <c r="H58" s="5"/>
      <c r="I58" s="3"/>
      <c r="J58" s="3"/>
    </row>
    <row r="59" customFormat="false" ht="15" hidden="false" customHeight="false" outlineLevel="0" collapsed="false">
      <c r="A59" s="2" t="n">
        <v>58</v>
      </c>
      <c r="B59" s="3" t="s">
        <v>127</v>
      </c>
      <c r="C59" s="4" t="s">
        <v>140</v>
      </c>
      <c r="D59" s="3" t="s">
        <v>141</v>
      </c>
      <c r="E59" s="2" t="s">
        <v>116</v>
      </c>
      <c r="F59" s="2" t="s">
        <v>14</v>
      </c>
      <c r="G59" s="2" t="s">
        <v>15</v>
      </c>
      <c r="H59" s="5"/>
      <c r="I59" s="3"/>
      <c r="J59" s="3"/>
    </row>
    <row r="60" customFormat="false" ht="15" hidden="false" customHeight="false" outlineLevel="0" collapsed="false">
      <c r="A60" s="2" t="n">
        <v>59</v>
      </c>
      <c r="B60" s="3" t="s">
        <v>127</v>
      </c>
      <c r="C60" s="4" t="s">
        <v>142</v>
      </c>
      <c r="D60" s="3" t="s">
        <v>143</v>
      </c>
      <c r="E60" s="2" t="s">
        <v>116</v>
      </c>
      <c r="F60" s="2" t="s">
        <v>14</v>
      </c>
      <c r="G60" s="2" t="s">
        <v>15</v>
      </c>
      <c r="H60" s="5"/>
      <c r="I60" s="3"/>
      <c r="J60" s="3"/>
    </row>
    <row r="61" customFormat="false" ht="15" hidden="false" customHeight="false" outlineLevel="0" collapsed="false">
      <c r="A61" s="2" t="n">
        <v>60</v>
      </c>
      <c r="B61" s="3" t="s">
        <v>127</v>
      </c>
      <c r="C61" s="4" t="s">
        <v>144</v>
      </c>
      <c r="D61" s="3" t="s">
        <v>145</v>
      </c>
      <c r="E61" s="2" t="s">
        <v>106</v>
      </c>
      <c r="F61" s="2" t="s">
        <v>14</v>
      </c>
      <c r="G61" s="2" t="s">
        <v>15</v>
      </c>
      <c r="H61" s="5"/>
      <c r="I61" s="3"/>
      <c r="J61" s="3"/>
    </row>
    <row r="62" customFormat="false" ht="15" hidden="false" customHeight="false" outlineLevel="0" collapsed="false">
      <c r="A62" s="2" t="n">
        <v>61</v>
      </c>
      <c r="B62" s="3" t="s">
        <v>146</v>
      </c>
      <c r="C62" s="4" t="s">
        <v>147</v>
      </c>
      <c r="D62" s="3" t="s">
        <v>148</v>
      </c>
      <c r="E62" s="2" t="s">
        <v>116</v>
      </c>
      <c r="F62" s="2" t="s">
        <v>14</v>
      </c>
      <c r="G62" s="2" t="s">
        <v>15</v>
      </c>
      <c r="H62" s="5"/>
      <c r="I62" s="3"/>
      <c r="J62" s="3"/>
    </row>
    <row r="63" customFormat="false" ht="15" hidden="false" customHeight="false" outlineLevel="0" collapsed="false">
      <c r="A63" s="2" t="n">
        <v>62</v>
      </c>
      <c r="B63" s="3" t="s">
        <v>146</v>
      </c>
      <c r="C63" s="4" t="s">
        <v>149</v>
      </c>
      <c r="D63" s="3" t="s">
        <v>150</v>
      </c>
      <c r="E63" s="2" t="s">
        <v>116</v>
      </c>
      <c r="F63" s="2" t="s">
        <v>14</v>
      </c>
      <c r="G63" s="2" t="s">
        <v>15</v>
      </c>
      <c r="H63" s="5"/>
      <c r="I63" s="3"/>
      <c r="J63" s="3"/>
    </row>
    <row r="64" customFormat="false" ht="15" hidden="false" customHeight="false" outlineLevel="0" collapsed="false">
      <c r="A64" s="2" t="n">
        <v>63</v>
      </c>
      <c r="B64" s="3" t="s">
        <v>146</v>
      </c>
      <c r="C64" s="4" t="s">
        <v>151</v>
      </c>
      <c r="D64" s="3" t="s">
        <v>152</v>
      </c>
      <c r="E64" s="2" t="s">
        <v>116</v>
      </c>
      <c r="F64" s="2" t="s">
        <v>14</v>
      </c>
      <c r="G64" s="2" t="s">
        <v>15</v>
      </c>
      <c r="H64" s="5"/>
      <c r="I64" s="3"/>
      <c r="J64" s="3"/>
    </row>
    <row r="65" customFormat="false" ht="15" hidden="false" customHeight="false" outlineLevel="0" collapsed="false">
      <c r="A65" s="2" t="n">
        <v>64</v>
      </c>
      <c r="B65" s="3" t="s">
        <v>146</v>
      </c>
      <c r="C65" s="4" t="s">
        <v>153</v>
      </c>
      <c r="D65" s="3" t="s">
        <v>154</v>
      </c>
      <c r="E65" s="2" t="s">
        <v>116</v>
      </c>
      <c r="F65" s="2" t="s">
        <v>14</v>
      </c>
      <c r="G65" s="2" t="s">
        <v>15</v>
      </c>
      <c r="H65" s="5"/>
      <c r="I65" s="3"/>
      <c r="J65" s="3"/>
    </row>
    <row r="66" customFormat="false" ht="15" hidden="false" customHeight="false" outlineLevel="0" collapsed="false">
      <c r="A66" s="2" t="n">
        <v>65</v>
      </c>
      <c r="B66" s="3" t="s">
        <v>146</v>
      </c>
      <c r="C66" s="4" t="s">
        <v>155</v>
      </c>
      <c r="D66" s="3" t="s">
        <v>156</v>
      </c>
      <c r="E66" s="2" t="s">
        <v>116</v>
      </c>
      <c r="F66" s="2" t="s">
        <v>14</v>
      </c>
      <c r="G66" s="2" t="s">
        <v>15</v>
      </c>
      <c r="H66" s="5"/>
      <c r="I66" s="3"/>
      <c r="J66" s="3"/>
    </row>
    <row r="67" customFormat="false" ht="23.85" hidden="false" customHeight="false" outlineLevel="0" collapsed="false">
      <c r="A67" s="2" t="n">
        <v>66</v>
      </c>
      <c r="B67" s="3" t="s">
        <v>146</v>
      </c>
      <c r="C67" s="4" t="s">
        <v>157</v>
      </c>
      <c r="D67" s="3" t="s">
        <v>158</v>
      </c>
      <c r="E67" s="2" t="s">
        <v>116</v>
      </c>
      <c r="F67" s="2" t="s">
        <v>14</v>
      </c>
      <c r="G67" s="2" t="s">
        <v>15</v>
      </c>
      <c r="H67" s="5"/>
      <c r="I67" s="3"/>
      <c r="J67" s="3"/>
    </row>
    <row r="68" customFormat="false" ht="15" hidden="false" customHeight="false" outlineLevel="0" collapsed="false">
      <c r="A68" s="2" t="n">
        <v>67</v>
      </c>
      <c r="B68" s="3" t="s">
        <v>146</v>
      </c>
      <c r="C68" s="4" t="s">
        <v>159</v>
      </c>
      <c r="D68" s="3" t="s">
        <v>160</v>
      </c>
      <c r="E68" s="2" t="s">
        <v>116</v>
      </c>
      <c r="F68" s="2" t="s">
        <v>14</v>
      </c>
      <c r="G68" s="2" t="s">
        <v>15</v>
      </c>
      <c r="H68" s="5"/>
      <c r="I68" s="3"/>
      <c r="J68" s="3"/>
    </row>
    <row r="69" customFormat="false" ht="15" hidden="false" customHeight="false" outlineLevel="0" collapsed="false">
      <c r="A69" s="2" t="n">
        <v>68</v>
      </c>
      <c r="B69" s="3" t="s">
        <v>161</v>
      </c>
      <c r="C69" s="4" t="s">
        <v>162</v>
      </c>
      <c r="D69" s="3" t="s">
        <v>163</v>
      </c>
      <c r="E69" s="2" t="s">
        <v>164</v>
      </c>
      <c r="F69" s="2" t="s">
        <v>14</v>
      </c>
      <c r="G69" s="2" t="s">
        <v>15</v>
      </c>
      <c r="H69" s="5"/>
      <c r="I69" s="3"/>
      <c r="J69" s="3"/>
    </row>
    <row r="70" customFormat="false" ht="23.85" hidden="false" customHeight="false" outlineLevel="0" collapsed="false">
      <c r="A70" s="2" t="n">
        <v>69</v>
      </c>
      <c r="B70" s="3" t="s">
        <v>161</v>
      </c>
      <c r="C70" s="4" t="s">
        <v>165</v>
      </c>
      <c r="D70" s="3" t="s">
        <v>166</v>
      </c>
      <c r="E70" s="2" t="s">
        <v>167</v>
      </c>
      <c r="F70" s="2" t="s">
        <v>14</v>
      </c>
      <c r="G70" s="2" t="s">
        <v>15</v>
      </c>
      <c r="H70" s="5"/>
      <c r="I70" s="3"/>
      <c r="J70" s="3"/>
    </row>
    <row r="71" customFormat="false" ht="15" hidden="false" customHeight="false" outlineLevel="0" collapsed="false">
      <c r="A71" s="2" t="n">
        <v>70</v>
      </c>
      <c r="B71" s="3" t="s">
        <v>161</v>
      </c>
      <c r="C71" s="4" t="s">
        <v>168</v>
      </c>
      <c r="D71" s="3" t="s">
        <v>169</v>
      </c>
      <c r="E71" s="2" t="s">
        <v>167</v>
      </c>
      <c r="F71" s="2" t="s">
        <v>14</v>
      </c>
      <c r="G71" s="2" t="s">
        <v>15</v>
      </c>
      <c r="H71" s="5"/>
      <c r="I71" s="3"/>
      <c r="J71" s="3"/>
    </row>
    <row r="72" customFormat="false" ht="15" hidden="false" customHeight="false" outlineLevel="0" collapsed="false">
      <c r="A72" s="2" t="n">
        <v>71</v>
      </c>
      <c r="B72" s="3" t="s">
        <v>161</v>
      </c>
      <c r="C72" s="4" t="s">
        <v>170</v>
      </c>
      <c r="D72" s="3" t="s">
        <v>171</v>
      </c>
      <c r="E72" s="2" t="s">
        <v>164</v>
      </c>
      <c r="F72" s="2" t="s">
        <v>14</v>
      </c>
      <c r="G72" s="2" t="s">
        <v>15</v>
      </c>
      <c r="H72" s="5"/>
      <c r="I72" s="3"/>
      <c r="J72" s="3"/>
    </row>
    <row r="73" customFormat="false" ht="15" hidden="false" customHeight="false" outlineLevel="0" collapsed="false">
      <c r="A73" s="2" t="n">
        <v>72</v>
      </c>
      <c r="B73" s="3" t="s">
        <v>172</v>
      </c>
      <c r="C73" s="4" t="s">
        <v>173</v>
      </c>
      <c r="D73" s="3" t="s">
        <v>174</v>
      </c>
      <c r="E73" s="2" t="s">
        <v>164</v>
      </c>
      <c r="F73" s="2" t="s">
        <v>14</v>
      </c>
      <c r="G73" s="2" t="s">
        <v>15</v>
      </c>
      <c r="H73" s="5"/>
      <c r="I73" s="3"/>
      <c r="J73" s="3"/>
    </row>
    <row r="74" customFormat="false" ht="15" hidden="false" customHeight="false" outlineLevel="0" collapsed="false">
      <c r="A74" s="2" t="n">
        <v>73</v>
      </c>
      <c r="B74" s="3" t="s">
        <v>172</v>
      </c>
      <c r="C74" s="4" t="s">
        <v>175</v>
      </c>
      <c r="D74" s="3" t="s">
        <v>176</v>
      </c>
      <c r="E74" s="2" t="s">
        <v>177</v>
      </c>
      <c r="F74" s="2" t="s">
        <v>14</v>
      </c>
      <c r="G74" s="2" t="s">
        <v>15</v>
      </c>
      <c r="H74" s="5"/>
      <c r="I74" s="3"/>
      <c r="J74" s="3"/>
    </row>
    <row r="75" customFormat="false" ht="15" hidden="false" customHeight="false" outlineLevel="0" collapsed="false">
      <c r="A75" s="2" t="n">
        <v>74</v>
      </c>
      <c r="B75" s="3" t="s">
        <v>172</v>
      </c>
      <c r="C75" s="4" t="s">
        <v>178</v>
      </c>
      <c r="D75" s="3" t="s">
        <v>179</v>
      </c>
      <c r="E75" s="2" t="s">
        <v>177</v>
      </c>
      <c r="F75" s="2" t="s">
        <v>14</v>
      </c>
      <c r="G75" s="2" t="s">
        <v>15</v>
      </c>
      <c r="H75" s="5"/>
      <c r="I75" s="3"/>
      <c r="J75" s="3"/>
    </row>
    <row r="76" customFormat="false" ht="15" hidden="false" customHeight="false" outlineLevel="0" collapsed="false">
      <c r="A76" s="2" t="n">
        <v>75</v>
      </c>
      <c r="B76" s="3" t="s">
        <v>172</v>
      </c>
      <c r="C76" s="4" t="s">
        <v>180</v>
      </c>
      <c r="D76" s="3" t="s">
        <v>181</v>
      </c>
      <c r="E76" s="2" t="s">
        <v>177</v>
      </c>
      <c r="F76" s="2" t="s">
        <v>14</v>
      </c>
      <c r="G76" s="2" t="s">
        <v>15</v>
      </c>
      <c r="H76" s="5"/>
      <c r="I76" s="3"/>
      <c r="J76" s="3"/>
    </row>
    <row r="77" customFormat="false" ht="15" hidden="false" customHeight="false" outlineLevel="0" collapsed="false">
      <c r="A77" s="2" t="n">
        <v>76</v>
      </c>
      <c r="B77" s="3" t="s">
        <v>172</v>
      </c>
      <c r="C77" s="4" t="s">
        <v>182</v>
      </c>
      <c r="D77" s="3" t="s">
        <v>183</v>
      </c>
      <c r="E77" s="2" t="s">
        <v>177</v>
      </c>
      <c r="F77" s="2" t="s">
        <v>14</v>
      </c>
      <c r="G77" s="2" t="s">
        <v>15</v>
      </c>
      <c r="H77" s="5"/>
      <c r="I77" s="3"/>
      <c r="J77" s="3"/>
    </row>
    <row r="78" customFormat="false" ht="15" hidden="false" customHeight="false" outlineLevel="0" collapsed="false">
      <c r="A78" s="2" t="n">
        <v>77</v>
      </c>
      <c r="B78" s="3" t="s">
        <v>172</v>
      </c>
      <c r="C78" s="4" t="s">
        <v>184</v>
      </c>
      <c r="D78" s="3" t="s">
        <v>185</v>
      </c>
      <c r="E78" s="2" t="s">
        <v>177</v>
      </c>
      <c r="F78" s="2" t="s">
        <v>14</v>
      </c>
      <c r="G78" s="2" t="s">
        <v>15</v>
      </c>
      <c r="H78" s="5"/>
      <c r="I78" s="3"/>
      <c r="J78" s="3"/>
    </row>
    <row r="79" customFormat="false" ht="15" hidden="false" customHeight="false" outlineLevel="0" collapsed="false">
      <c r="A79" s="2" t="n">
        <v>78</v>
      </c>
      <c r="B79" s="3" t="s">
        <v>172</v>
      </c>
      <c r="C79" s="4" t="s">
        <v>186</v>
      </c>
      <c r="D79" s="3" t="s">
        <v>187</v>
      </c>
      <c r="E79" s="2" t="s">
        <v>177</v>
      </c>
      <c r="F79" s="2" t="s">
        <v>14</v>
      </c>
      <c r="G79" s="2" t="s">
        <v>15</v>
      </c>
      <c r="H79" s="5"/>
      <c r="I79" s="3"/>
      <c r="J79" s="3"/>
    </row>
    <row r="80" customFormat="false" ht="15" hidden="false" customHeight="false" outlineLevel="0" collapsed="false">
      <c r="A80" s="2" t="n">
        <v>79</v>
      </c>
      <c r="B80" s="3" t="s">
        <v>172</v>
      </c>
      <c r="C80" s="4" t="s">
        <v>188</v>
      </c>
      <c r="D80" s="3" t="s">
        <v>189</v>
      </c>
      <c r="E80" s="2" t="s">
        <v>177</v>
      </c>
      <c r="F80" s="2" t="s">
        <v>14</v>
      </c>
      <c r="G80" s="2" t="s">
        <v>15</v>
      </c>
      <c r="H80" s="5"/>
      <c r="I80" s="3"/>
      <c r="J80" s="3"/>
    </row>
    <row r="81" customFormat="false" ht="15" hidden="false" customHeight="false" outlineLevel="0" collapsed="false">
      <c r="A81" s="2" t="n">
        <v>80</v>
      </c>
      <c r="B81" s="3" t="s">
        <v>172</v>
      </c>
      <c r="C81" s="4" t="s">
        <v>190</v>
      </c>
      <c r="D81" s="3" t="s">
        <v>191</v>
      </c>
      <c r="E81" s="2" t="s">
        <v>177</v>
      </c>
      <c r="F81" s="2" t="s">
        <v>14</v>
      </c>
      <c r="G81" s="2" t="s">
        <v>15</v>
      </c>
      <c r="H81" s="5"/>
      <c r="I81" s="3"/>
      <c r="J81" s="3"/>
    </row>
    <row r="82" customFormat="false" ht="15" hidden="false" customHeight="false" outlineLevel="0" collapsed="false">
      <c r="A82" s="2" t="n">
        <v>81</v>
      </c>
      <c r="B82" s="3" t="s">
        <v>192</v>
      </c>
      <c r="C82" s="4" t="s">
        <v>193</v>
      </c>
      <c r="D82" s="3" t="s">
        <v>194</v>
      </c>
      <c r="E82" s="2" t="s">
        <v>116</v>
      </c>
      <c r="F82" s="2" t="s">
        <v>14</v>
      </c>
      <c r="G82" s="2" t="s">
        <v>15</v>
      </c>
      <c r="H82" s="5"/>
      <c r="I82" s="3"/>
      <c r="J82" s="3"/>
    </row>
    <row r="83" customFormat="false" ht="23.85" hidden="false" customHeight="false" outlineLevel="0" collapsed="false">
      <c r="A83" s="2" t="n">
        <v>82</v>
      </c>
      <c r="B83" s="3" t="s">
        <v>192</v>
      </c>
      <c r="C83" s="4" t="s">
        <v>195</v>
      </c>
      <c r="D83" s="3" t="s">
        <v>196</v>
      </c>
      <c r="E83" s="2" t="s">
        <v>116</v>
      </c>
      <c r="F83" s="2" t="s">
        <v>14</v>
      </c>
      <c r="G83" s="2" t="s">
        <v>15</v>
      </c>
      <c r="H83" s="5"/>
      <c r="I83" s="3"/>
      <c r="J83" s="3"/>
    </row>
    <row r="84" customFormat="false" ht="15" hidden="false" customHeight="false" outlineLevel="0" collapsed="false">
      <c r="A84" s="2" t="n">
        <v>83</v>
      </c>
      <c r="B84" s="3" t="s">
        <v>192</v>
      </c>
      <c r="C84" s="4" t="s">
        <v>197</v>
      </c>
      <c r="D84" s="3" t="s">
        <v>198</v>
      </c>
      <c r="E84" s="2" t="s">
        <v>116</v>
      </c>
      <c r="F84" s="2" t="s">
        <v>14</v>
      </c>
      <c r="G84" s="2" t="s">
        <v>15</v>
      </c>
      <c r="H84" s="5"/>
      <c r="I84" s="3"/>
      <c r="J84" s="3"/>
    </row>
    <row r="85" customFormat="false" ht="23.85" hidden="false" customHeight="false" outlineLevel="0" collapsed="false">
      <c r="A85" s="2" t="n">
        <v>84</v>
      </c>
      <c r="B85" s="3" t="s">
        <v>192</v>
      </c>
      <c r="C85" s="4" t="s">
        <v>199</v>
      </c>
      <c r="D85" s="3" t="s">
        <v>200</v>
      </c>
      <c r="E85" s="2" t="s">
        <v>201</v>
      </c>
      <c r="F85" s="2" t="s">
        <v>18</v>
      </c>
      <c r="G85" s="2" t="s">
        <v>15</v>
      </c>
      <c r="H85" s="5"/>
      <c r="I85" s="3"/>
      <c r="J85" s="3"/>
    </row>
    <row r="86" customFormat="false" ht="23.85" hidden="false" customHeight="false" outlineLevel="0" collapsed="false">
      <c r="A86" s="2" t="n">
        <v>85</v>
      </c>
      <c r="B86" s="3" t="s">
        <v>192</v>
      </c>
      <c r="C86" s="4" t="s">
        <v>202</v>
      </c>
      <c r="D86" s="3" t="s">
        <v>203</v>
      </c>
      <c r="E86" s="2" t="s">
        <v>201</v>
      </c>
      <c r="F86" s="2" t="s">
        <v>18</v>
      </c>
      <c r="G86" s="2" t="s">
        <v>15</v>
      </c>
      <c r="H86" s="5"/>
      <c r="I86" s="3"/>
      <c r="J86" s="3"/>
    </row>
    <row r="87" customFormat="false" ht="23.85" hidden="false" customHeight="false" outlineLevel="0" collapsed="false">
      <c r="A87" s="2" t="n">
        <v>86</v>
      </c>
      <c r="B87" s="3" t="s">
        <v>204</v>
      </c>
      <c r="C87" s="4" t="s">
        <v>205</v>
      </c>
      <c r="D87" s="3" t="s">
        <v>206</v>
      </c>
      <c r="E87" s="2" t="s">
        <v>25</v>
      </c>
      <c r="F87" s="2" t="s">
        <v>18</v>
      </c>
      <c r="G87" s="2" t="s">
        <v>15</v>
      </c>
      <c r="H87" s="5"/>
      <c r="I87" s="3"/>
      <c r="J87" s="3"/>
    </row>
    <row r="88" customFormat="false" ht="15" hidden="false" customHeight="false" outlineLevel="0" collapsed="false">
      <c r="A88" s="2" t="n">
        <v>87</v>
      </c>
      <c r="B88" s="3" t="s">
        <v>204</v>
      </c>
      <c r="C88" s="4" t="s">
        <v>207</v>
      </c>
      <c r="D88" s="3" t="s">
        <v>208</v>
      </c>
      <c r="E88" s="2" t="s">
        <v>116</v>
      </c>
      <c r="F88" s="2" t="s">
        <v>18</v>
      </c>
      <c r="G88" s="2" t="s">
        <v>15</v>
      </c>
      <c r="H88" s="5"/>
      <c r="I88" s="3"/>
      <c r="J88" s="3"/>
    </row>
    <row r="89" customFormat="false" ht="23.85" hidden="false" customHeight="false" outlineLevel="0" collapsed="false">
      <c r="A89" s="2" t="n">
        <v>88</v>
      </c>
      <c r="B89" s="3" t="s">
        <v>204</v>
      </c>
      <c r="C89" s="4" t="s">
        <v>209</v>
      </c>
      <c r="D89" s="3" t="s">
        <v>210</v>
      </c>
      <c r="E89" s="2" t="s">
        <v>25</v>
      </c>
      <c r="F89" s="2" t="s">
        <v>18</v>
      </c>
      <c r="G89" s="2" t="s">
        <v>15</v>
      </c>
      <c r="H89" s="5"/>
      <c r="I89" s="3"/>
      <c r="J89" s="3"/>
    </row>
    <row r="90" customFormat="false" ht="15" hidden="false" customHeight="false" outlineLevel="0" collapsed="false">
      <c r="A90" s="2" t="n">
        <v>89</v>
      </c>
      <c r="B90" s="3" t="s">
        <v>204</v>
      </c>
      <c r="C90" s="4" t="s">
        <v>211</v>
      </c>
      <c r="D90" s="3" t="s">
        <v>212</v>
      </c>
      <c r="E90" s="2" t="s">
        <v>213</v>
      </c>
      <c r="F90" s="2" t="s">
        <v>18</v>
      </c>
      <c r="G90" s="2" t="s">
        <v>15</v>
      </c>
      <c r="H90" s="5"/>
      <c r="I90" s="3"/>
      <c r="J90" s="3"/>
    </row>
    <row r="91" customFormat="false" ht="15" hidden="false" customHeight="false" outlineLevel="0" collapsed="false">
      <c r="A91" s="2" t="n">
        <v>90</v>
      </c>
      <c r="B91" s="3" t="s">
        <v>214</v>
      </c>
      <c r="C91" s="4" t="s">
        <v>215</v>
      </c>
      <c r="D91" s="3" t="s">
        <v>216</v>
      </c>
      <c r="E91" s="2" t="s">
        <v>25</v>
      </c>
      <c r="F91" s="2" t="s">
        <v>21</v>
      </c>
      <c r="G91" s="2" t="s">
        <v>15</v>
      </c>
      <c r="H91" s="5"/>
      <c r="I91" s="3"/>
      <c r="J91" s="3"/>
    </row>
    <row r="92" customFormat="false" ht="15" hidden="false" customHeight="false" outlineLevel="0" collapsed="false">
      <c r="A92" s="2" t="n">
        <v>91</v>
      </c>
      <c r="B92" s="3" t="s">
        <v>214</v>
      </c>
      <c r="C92" s="4" t="s">
        <v>217</v>
      </c>
      <c r="D92" s="3" t="s">
        <v>218</v>
      </c>
      <c r="E92" s="2" t="s">
        <v>213</v>
      </c>
      <c r="F92" s="2" t="s">
        <v>21</v>
      </c>
      <c r="G92" s="2" t="s">
        <v>15</v>
      </c>
      <c r="H92" s="5"/>
      <c r="I92" s="3"/>
      <c r="J92" s="3"/>
    </row>
    <row r="93" customFormat="false" ht="15" hidden="false" customHeight="false" outlineLevel="0" collapsed="false">
      <c r="A93" s="2" t="n">
        <v>92</v>
      </c>
      <c r="B93" s="3" t="s">
        <v>214</v>
      </c>
      <c r="C93" s="4" t="s">
        <v>219</v>
      </c>
      <c r="D93" s="3" t="s">
        <v>220</v>
      </c>
      <c r="E93" s="2" t="s">
        <v>13</v>
      </c>
      <c r="F93" s="2" t="s">
        <v>21</v>
      </c>
      <c r="G93" s="2" t="s">
        <v>15</v>
      </c>
      <c r="H93" s="5"/>
      <c r="I93" s="3"/>
      <c r="J93" s="3"/>
    </row>
    <row r="94" customFormat="false" ht="15" hidden="false" customHeight="false" outlineLevel="0" collapsed="false">
      <c r="A94" s="2" t="n">
        <v>93</v>
      </c>
      <c r="B94" s="3" t="s">
        <v>214</v>
      </c>
      <c r="C94" s="4" t="s">
        <v>221</v>
      </c>
      <c r="D94" s="3" t="s">
        <v>222</v>
      </c>
      <c r="E94" s="2" t="s">
        <v>13</v>
      </c>
      <c r="F94" s="2" t="s">
        <v>21</v>
      </c>
      <c r="G94" s="2" t="s">
        <v>15</v>
      </c>
      <c r="H94" s="5"/>
      <c r="I94" s="3"/>
      <c r="J94" s="3"/>
    </row>
    <row r="95" customFormat="false" ht="23.85" hidden="false" customHeight="false" outlineLevel="0" collapsed="false">
      <c r="A95" s="2" t="n">
        <v>94</v>
      </c>
      <c r="B95" s="3" t="s">
        <v>223</v>
      </c>
      <c r="C95" s="4" t="s">
        <v>224</v>
      </c>
      <c r="D95" s="3" t="s">
        <v>225</v>
      </c>
      <c r="E95" s="2" t="s">
        <v>13</v>
      </c>
      <c r="F95" s="2" t="s">
        <v>18</v>
      </c>
      <c r="G95" s="2" t="s">
        <v>15</v>
      </c>
      <c r="H95" s="5"/>
      <c r="I95" s="3"/>
      <c r="J95" s="3"/>
    </row>
    <row r="96" customFormat="false" ht="23.85" hidden="false" customHeight="false" outlineLevel="0" collapsed="false">
      <c r="A96" s="2" t="n">
        <v>95</v>
      </c>
      <c r="B96" s="3" t="s">
        <v>223</v>
      </c>
      <c r="C96" s="4" t="s">
        <v>226</v>
      </c>
      <c r="D96" s="3" t="s">
        <v>227</v>
      </c>
      <c r="E96" s="2" t="s">
        <v>13</v>
      </c>
      <c r="F96" s="2" t="s">
        <v>18</v>
      </c>
      <c r="G96" s="2" t="s">
        <v>15</v>
      </c>
      <c r="H96" s="5"/>
      <c r="I96" s="3"/>
      <c r="J96" s="3"/>
    </row>
    <row r="97" customFormat="false" ht="15" hidden="false" customHeight="false" outlineLevel="0" collapsed="false">
      <c r="A97" s="2" t="n">
        <v>96</v>
      </c>
      <c r="B97" s="3" t="s">
        <v>223</v>
      </c>
      <c r="C97" s="4" t="s">
        <v>228</v>
      </c>
      <c r="D97" s="3" t="s">
        <v>229</v>
      </c>
      <c r="E97" s="2" t="s">
        <v>13</v>
      </c>
      <c r="F97" s="2" t="s">
        <v>18</v>
      </c>
      <c r="G97" s="2" t="s">
        <v>15</v>
      </c>
      <c r="H97" s="5"/>
      <c r="I97" s="3"/>
      <c r="J97" s="3"/>
    </row>
    <row r="98" customFormat="false" ht="15" hidden="false" customHeight="false" outlineLevel="0" collapsed="false">
      <c r="A98" s="2" t="n">
        <v>97</v>
      </c>
      <c r="B98" s="3" t="s">
        <v>223</v>
      </c>
      <c r="C98" s="4" t="s">
        <v>230</v>
      </c>
      <c r="D98" s="3" t="s">
        <v>231</v>
      </c>
      <c r="E98" s="2" t="s">
        <v>13</v>
      </c>
      <c r="F98" s="2" t="s">
        <v>18</v>
      </c>
      <c r="G98" s="2" t="s">
        <v>15</v>
      </c>
      <c r="H98" s="5"/>
      <c r="I98" s="3"/>
      <c r="J98" s="3"/>
    </row>
  </sheetData>
  <autoFilter ref="A1:J98"/>
  <conditionalFormatting sqref="G2:G98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"Falhou"</formula>
    </cfRule>
    <cfRule type="cellIs" priority="4" operator="equal" aboveAverage="0" equalAverage="0" bottom="0" percent="0" rank="0" text="" dxfId="5">
      <formula>"Em teste"</formula>
    </cfRule>
    <cfRule type="cellIs" priority="5" operator="equal" aboveAverage="0" equalAverage="0" bottom="0" percent="0" rank="0" text="" dxfId="6">
      <formula>"N/A"</formula>
    </cfRule>
  </conditionalFormatting>
  <dataValidations count="2">
    <dataValidation allowBlank="false" errorStyle="stop" operator="between" showDropDown="false" showErrorMessage="false" showInputMessage="false" sqref="G2:G98" type="list">
      <formula1>"Pendente,Em teste,OK,Falhou,N/A"</formula1>
      <formula2>0</formula2>
    </dataValidation>
    <dataValidation allowBlank="false" errorStyle="stop" operator="between" showDropDown="false" showErrorMessage="false" showInputMessage="false" sqref="F2:F98" type="list">
      <formula1>"SITL,Hardware,Ambos"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9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15</v>
      </c>
      <c r="G1" s="1" t="s">
        <v>236</v>
      </c>
      <c r="H1" s="1" t="s">
        <v>237</v>
      </c>
    </row>
    <row r="2" customFormat="false" ht="15" hidden="false" customHeight="false" outlineLevel="0" collapsed="false">
      <c r="A2" s="6" t="s">
        <v>10</v>
      </c>
      <c r="B2" s="7" t="n">
        <f aca="false">COUNTIF(Checklist!$B$2:$B$98,$A2)</f>
        <v>3</v>
      </c>
      <c r="C2" s="7" t="n">
        <f aca="false">COUNTIFS(Checklist!$B$2:$B$98,$A2,Checklist!$G$2:$G$98,"OK")</f>
        <v>0</v>
      </c>
      <c r="D2" s="7" t="n">
        <f aca="false">COUNTIFS(Checklist!$B$2:$B$98,$A2,Checklist!$G$2:$G$98,"Falhou")</f>
        <v>0</v>
      </c>
      <c r="E2" s="7" t="n">
        <f aca="false">COUNTIFS(Checklist!$B$2:$B$98,$A2,Checklist!$G$2:$G$98,"Em teste")</f>
        <v>0</v>
      </c>
      <c r="F2" s="7" t="n">
        <f aca="false">COUNTIFS(Checklist!$B$2:$B$98,$A2,Checklist!$G$2:$G$98,"Pendente")</f>
        <v>3</v>
      </c>
      <c r="G2" s="7" t="n">
        <f aca="false">COUNTIFS(Checklist!$B$2:$B$98,$A2,Checklist!$G$2:$G$98,"N/A")</f>
        <v>0</v>
      </c>
      <c r="H2" s="8" t="n">
        <f aca="false">IFERROR(C2/(B2-G2),0)</f>
        <v>0</v>
      </c>
    </row>
    <row r="3" customFormat="false" ht="15" hidden="false" customHeight="false" outlineLevel="0" collapsed="false">
      <c r="A3" s="6" t="s">
        <v>22</v>
      </c>
      <c r="B3" s="7" t="n">
        <f aca="false">COUNTIF(Checklist!$B$2:$B$98,$A3)</f>
        <v>10</v>
      </c>
      <c r="C3" s="7" t="n">
        <f aca="false">COUNTIFS(Checklist!$B$2:$B$98,$A3,Checklist!$G$2:$G$98,"OK")</f>
        <v>0</v>
      </c>
      <c r="D3" s="7" t="n">
        <f aca="false">COUNTIFS(Checklist!$B$2:$B$98,$A3,Checklist!$G$2:$G$98,"Falhou")</f>
        <v>0</v>
      </c>
      <c r="E3" s="7" t="n">
        <f aca="false">COUNTIFS(Checklist!$B$2:$B$98,$A3,Checklist!$G$2:$G$98,"Em teste")</f>
        <v>0</v>
      </c>
      <c r="F3" s="7" t="n">
        <f aca="false">COUNTIFS(Checklist!$B$2:$B$98,$A3,Checklist!$G$2:$G$98,"Pendente")</f>
        <v>10</v>
      </c>
      <c r="G3" s="7" t="n">
        <f aca="false">COUNTIFS(Checklist!$B$2:$B$98,$A3,Checklist!$G$2:$G$98,"N/A")</f>
        <v>0</v>
      </c>
      <c r="H3" s="8" t="n">
        <f aca="false">IFERROR(C3/(B3-G3),0)</f>
        <v>0</v>
      </c>
    </row>
    <row r="4" customFormat="false" ht="15" hidden="false" customHeight="false" outlineLevel="0" collapsed="false">
      <c r="A4" s="6" t="s">
        <v>44</v>
      </c>
      <c r="B4" s="7" t="n">
        <f aca="false">COUNTIF(Checklist!$B$2:$B$98,$A4)</f>
        <v>19</v>
      </c>
      <c r="C4" s="7" t="n">
        <f aca="false">COUNTIFS(Checklist!$B$2:$B$98,$A4,Checklist!$G$2:$G$98,"OK")</f>
        <v>0</v>
      </c>
      <c r="D4" s="7" t="n">
        <f aca="false">COUNTIFS(Checklist!$B$2:$B$98,$A4,Checklist!$G$2:$G$98,"Falhou")</f>
        <v>0</v>
      </c>
      <c r="E4" s="7" t="n">
        <f aca="false">COUNTIFS(Checklist!$B$2:$B$98,$A4,Checklist!$G$2:$G$98,"Em teste")</f>
        <v>0</v>
      </c>
      <c r="F4" s="7" t="n">
        <f aca="false">COUNTIFS(Checklist!$B$2:$B$98,$A4,Checklist!$G$2:$G$98,"Pendente")</f>
        <v>19</v>
      </c>
      <c r="G4" s="7" t="n">
        <f aca="false">COUNTIFS(Checklist!$B$2:$B$98,$A4,Checklist!$G$2:$G$98,"N/A")</f>
        <v>0</v>
      </c>
      <c r="H4" s="8" t="n">
        <f aca="false">IFERROR(C4/(B4-G4),0)</f>
        <v>0</v>
      </c>
    </row>
    <row r="5" customFormat="false" ht="15" hidden="false" customHeight="false" outlineLevel="0" collapsed="false">
      <c r="A5" s="6" t="s">
        <v>83</v>
      </c>
      <c r="B5" s="7" t="n">
        <f aca="false">COUNTIF(Checklist!$B$2:$B$98,$A5)</f>
        <v>9</v>
      </c>
      <c r="C5" s="7" t="n">
        <f aca="false">COUNTIFS(Checklist!$B$2:$B$98,$A5,Checklist!$G$2:$G$98,"OK")</f>
        <v>0</v>
      </c>
      <c r="D5" s="7" t="n">
        <f aca="false">COUNTIFS(Checklist!$B$2:$B$98,$A5,Checklist!$G$2:$G$98,"Falhou")</f>
        <v>0</v>
      </c>
      <c r="E5" s="7" t="n">
        <f aca="false">COUNTIFS(Checklist!$B$2:$B$98,$A5,Checklist!$G$2:$G$98,"Em teste")</f>
        <v>0</v>
      </c>
      <c r="F5" s="7" t="n">
        <f aca="false">COUNTIFS(Checklist!$B$2:$B$98,$A5,Checklist!$G$2:$G$98,"Pendente")</f>
        <v>9</v>
      </c>
      <c r="G5" s="7" t="n">
        <f aca="false">COUNTIFS(Checklist!$B$2:$B$98,$A5,Checklist!$G$2:$G$98,"N/A")</f>
        <v>0</v>
      </c>
      <c r="H5" s="8" t="n">
        <f aca="false">IFERROR(C5/(B5-G5),0)</f>
        <v>0</v>
      </c>
    </row>
    <row r="6" customFormat="false" ht="15" hidden="false" customHeight="false" outlineLevel="0" collapsed="false">
      <c r="A6" s="6" t="s">
        <v>103</v>
      </c>
      <c r="B6" s="7" t="n">
        <f aca="false">COUNTIF(Checklist!$B$2:$B$98,$A6)</f>
        <v>3</v>
      </c>
      <c r="C6" s="7" t="n">
        <f aca="false">COUNTIFS(Checklist!$B$2:$B$98,$A6,Checklist!$G$2:$G$98,"OK")</f>
        <v>0</v>
      </c>
      <c r="D6" s="7" t="n">
        <f aca="false">COUNTIFS(Checklist!$B$2:$B$98,$A6,Checklist!$G$2:$G$98,"Falhou")</f>
        <v>0</v>
      </c>
      <c r="E6" s="7" t="n">
        <f aca="false">COUNTIFS(Checklist!$B$2:$B$98,$A6,Checklist!$G$2:$G$98,"Em teste")</f>
        <v>0</v>
      </c>
      <c r="F6" s="7" t="n">
        <f aca="false">COUNTIFS(Checklist!$B$2:$B$98,$A6,Checklist!$G$2:$G$98,"Pendente")</f>
        <v>3</v>
      </c>
      <c r="G6" s="7" t="n">
        <f aca="false">COUNTIFS(Checklist!$B$2:$B$98,$A6,Checklist!$G$2:$G$98,"N/A")</f>
        <v>0</v>
      </c>
      <c r="H6" s="8" t="n">
        <f aca="false">IFERROR(C6/(B6-G6),0)</f>
        <v>0</v>
      </c>
    </row>
    <row r="7" customFormat="false" ht="15" hidden="false" customHeight="false" outlineLevel="0" collapsed="false">
      <c r="A7" s="6" t="s">
        <v>111</v>
      </c>
      <c r="B7" s="7" t="n">
        <f aca="false">COUNTIF(Checklist!$B$2:$B$98,$A7)</f>
        <v>7</v>
      </c>
      <c r="C7" s="7" t="n">
        <f aca="false">COUNTIFS(Checklist!$B$2:$B$98,$A7,Checklist!$G$2:$G$98,"OK")</f>
        <v>0</v>
      </c>
      <c r="D7" s="7" t="n">
        <f aca="false">COUNTIFS(Checklist!$B$2:$B$98,$A7,Checklist!$G$2:$G$98,"Falhou")</f>
        <v>0</v>
      </c>
      <c r="E7" s="7" t="n">
        <f aca="false">COUNTIFS(Checklist!$B$2:$B$98,$A7,Checklist!$G$2:$G$98,"Em teste")</f>
        <v>0</v>
      </c>
      <c r="F7" s="7" t="n">
        <f aca="false">COUNTIFS(Checklist!$B$2:$B$98,$A7,Checklist!$G$2:$G$98,"Pendente")</f>
        <v>7</v>
      </c>
      <c r="G7" s="7" t="n">
        <f aca="false">COUNTIFS(Checklist!$B$2:$B$98,$A7,Checklist!$G$2:$G$98,"N/A")</f>
        <v>0</v>
      </c>
      <c r="H7" s="8" t="n">
        <f aca="false">IFERROR(C7/(B7-G7),0)</f>
        <v>0</v>
      </c>
    </row>
    <row r="8" customFormat="false" ht="15" hidden="false" customHeight="false" outlineLevel="0" collapsed="false">
      <c r="A8" s="6" t="s">
        <v>127</v>
      </c>
      <c r="B8" s="7" t="n">
        <f aca="false">COUNTIF(Checklist!$B$2:$B$98,$A8)</f>
        <v>9</v>
      </c>
      <c r="C8" s="7" t="n">
        <f aca="false">COUNTIFS(Checklist!$B$2:$B$98,$A8,Checklist!$G$2:$G$98,"OK")</f>
        <v>0</v>
      </c>
      <c r="D8" s="7" t="n">
        <f aca="false">COUNTIFS(Checklist!$B$2:$B$98,$A8,Checklist!$G$2:$G$98,"Falhou")</f>
        <v>0</v>
      </c>
      <c r="E8" s="7" t="n">
        <f aca="false">COUNTIFS(Checklist!$B$2:$B$98,$A8,Checklist!$G$2:$G$98,"Em teste")</f>
        <v>0</v>
      </c>
      <c r="F8" s="7" t="n">
        <f aca="false">COUNTIFS(Checklist!$B$2:$B$98,$A8,Checklist!$G$2:$G$98,"Pendente")</f>
        <v>9</v>
      </c>
      <c r="G8" s="7" t="n">
        <f aca="false">COUNTIFS(Checklist!$B$2:$B$98,$A8,Checklist!$G$2:$G$98,"N/A")</f>
        <v>0</v>
      </c>
      <c r="H8" s="8" t="n">
        <f aca="false">IFERROR(C8/(B8-G8),0)</f>
        <v>0</v>
      </c>
    </row>
    <row r="9" customFormat="false" ht="15" hidden="false" customHeight="false" outlineLevel="0" collapsed="false">
      <c r="A9" s="6" t="s">
        <v>146</v>
      </c>
      <c r="B9" s="7" t="n">
        <f aca="false">COUNTIF(Checklist!$B$2:$B$98,$A9)</f>
        <v>7</v>
      </c>
      <c r="C9" s="7" t="n">
        <f aca="false">COUNTIFS(Checklist!$B$2:$B$98,$A9,Checklist!$G$2:$G$98,"OK")</f>
        <v>0</v>
      </c>
      <c r="D9" s="7" t="n">
        <f aca="false">COUNTIFS(Checklist!$B$2:$B$98,$A9,Checklist!$G$2:$G$98,"Falhou")</f>
        <v>0</v>
      </c>
      <c r="E9" s="7" t="n">
        <f aca="false">COUNTIFS(Checklist!$B$2:$B$98,$A9,Checklist!$G$2:$G$98,"Em teste")</f>
        <v>0</v>
      </c>
      <c r="F9" s="7" t="n">
        <f aca="false">COUNTIFS(Checklist!$B$2:$B$98,$A9,Checklist!$G$2:$G$98,"Pendente")</f>
        <v>7</v>
      </c>
      <c r="G9" s="7" t="n">
        <f aca="false">COUNTIFS(Checklist!$B$2:$B$98,$A9,Checklist!$G$2:$G$98,"N/A")</f>
        <v>0</v>
      </c>
      <c r="H9" s="8" t="n">
        <f aca="false">IFERROR(C9/(B9-G9),0)</f>
        <v>0</v>
      </c>
    </row>
    <row r="10" customFormat="false" ht="15" hidden="false" customHeight="false" outlineLevel="0" collapsed="false">
      <c r="A10" s="6" t="s">
        <v>161</v>
      </c>
      <c r="B10" s="7" t="n">
        <f aca="false">COUNTIF(Checklist!$B$2:$B$98,$A10)</f>
        <v>4</v>
      </c>
      <c r="C10" s="7" t="n">
        <f aca="false">COUNTIFS(Checklist!$B$2:$B$98,$A10,Checklist!$G$2:$G$98,"OK")</f>
        <v>0</v>
      </c>
      <c r="D10" s="7" t="n">
        <f aca="false">COUNTIFS(Checklist!$B$2:$B$98,$A10,Checklist!$G$2:$G$98,"Falhou")</f>
        <v>0</v>
      </c>
      <c r="E10" s="7" t="n">
        <f aca="false">COUNTIFS(Checklist!$B$2:$B$98,$A10,Checklist!$G$2:$G$98,"Em teste")</f>
        <v>0</v>
      </c>
      <c r="F10" s="7" t="n">
        <f aca="false">COUNTIFS(Checklist!$B$2:$B$98,$A10,Checklist!$G$2:$G$98,"Pendente")</f>
        <v>4</v>
      </c>
      <c r="G10" s="7" t="n">
        <f aca="false">COUNTIFS(Checklist!$B$2:$B$98,$A10,Checklist!$G$2:$G$98,"N/A")</f>
        <v>0</v>
      </c>
      <c r="H10" s="8" t="n">
        <f aca="false">IFERROR(C10/(B10-G10),0)</f>
        <v>0</v>
      </c>
    </row>
    <row r="11" customFormat="false" ht="15" hidden="false" customHeight="false" outlineLevel="0" collapsed="false">
      <c r="A11" s="6" t="s">
        <v>172</v>
      </c>
      <c r="B11" s="7" t="n">
        <f aca="false">COUNTIF(Checklist!$B$2:$B$98,$A11)</f>
        <v>9</v>
      </c>
      <c r="C11" s="7" t="n">
        <f aca="false">COUNTIFS(Checklist!$B$2:$B$98,$A11,Checklist!$G$2:$G$98,"OK")</f>
        <v>0</v>
      </c>
      <c r="D11" s="7" t="n">
        <f aca="false">COUNTIFS(Checklist!$B$2:$B$98,$A11,Checklist!$G$2:$G$98,"Falhou")</f>
        <v>0</v>
      </c>
      <c r="E11" s="7" t="n">
        <f aca="false">COUNTIFS(Checklist!$B$2:$B$98,$A11,Checklist!$G$2:$G$98,"Em teste")</f>
        <v>0</v>
      </c>
      <c r="F11" s="7" t="n">
        <f aca="false">COUNTIFS(Checklist!$B$2:$B$98,$A11,Checklist!$G$2:$G$98,"Pendente")</f>
        <v>9</v>
      </c>
      <c r="G11" s="7" t="n">
        <f aca="false">COUNTIFS(Checklist!$B$2:$B$98,$A11,Checklist!$G$2:$G$98,"N/A")</f>
        <v>0</v>
      </c>
      <c r="H11" s="8" t="n">
        <f aca="false">IFERROR(C11/(B11-G11),0)</f>
        <v>0</v>
      </c>
    </row>
    <row r="12" customFormat="false" ht="15" hidden="false" customHeight="false" outlineLevel="0" collapsed="false">
      <c r="A12" s="6" t="s">
        <v>192</v>
      </c>
      <c r="B12" s="7" t="n">
        <f aca="false">COUNTIF(Checklist!$B$2:$B$98,$A12)</f>
        <v>5</v>
      </c>
      <c r="C12" s="7" t="n">
        <f aca="false">COUNTIFS(Checklist!$B$2:$B$98,$A12,Checklist!$G$2:$G$98,"OK")</f>
        <v>0</v>
      </c>
      <c r="D12" s="7" t="n">
        <f aca="false">COUNTIFS(Checklist!$B$2:$B$98,$A12,Checklist!$G$2:$G$98,"Falhou")</f>
        <v>0</v>
      </c>
      <c r="E12" s="7" t="n">
        <f aca="false">COUNTIFS(Checklist!$B$2:$B$98,$A12,Checklist!$G$2:$G$98,"Em teste")</f>
        <v>0</v>
      </c>
      <c r="F12" s="7" t="n">
        <f aca="false">COUNTIFS(Checklist!$B$2:$B$98,$A12,Checklist!$G$2:$G$98,"Pendente")</f>
        <v>5</v>
      </c>
      <c r="G12" s="7" t="n">
        <f aca="false">COUNTIFS(Checklist!$B$2:$B$98,$A12,Checklist!$G$2:$G$98,"N/A")</f>
        <v>0</v>
      </c>
      <c r="H12" s="8" t="n">
        <f aca="false">IFERROR(C12/(B12-G12),0)</f>
        <v>0</v>
      </c>
    </row>
    <row r="13" customFormat="false" ht="15" hidden="false" customHeight="false" outlineLevel="0" collapsed="false">
      <c r="A13" s="6" t="s">
        <v>204</v>
      </c>
      <c r="B13" s="7" t="n">
        <f aca="false">COUNTIF(Checklist!$B$2:$B$98,$A13)</f>
        <v>4</v>
      </c>
      <c r="C13" s="7" t="n">
        <f aca="false">COUNTIFS(Checklist!$B$2:$B$98,$A13,Checklist!$G$2:$G$98,"OK")</f>
        <v>0</v>
      </c>
      <c r="D13" s="7" t="n">
        <f aca="false">COUNTIFS(Checklist!$B$2:$B$98,$A13,Checklist!$G$2:$G$98,"Falhou")</f>
        <v>0</v>
      </c>
      <c r="E13" s="7" t="n">
        <f aca="false">COUNTIFS(Checklist!$B$2:$B$98,$A13,Checklist!$G$2:$G$98,"Em teste")</f>
        <v>0</v>
      </c>
      <c r="F13" s="7" t="n">
        <f aca="false">COUNTIFS(Checklist!$B$2:$B$98,$A13,Checklist!$G$2:$G$98,"Pendente")</f>
        <v>4</v>
      </c>
      <c r="G13" s="7" t="n">
        <f aca="false">COUNTIFS(Checklist!$B$2:$B$98,$A13,Checklist!$G$2:$G$98,"N/A")</f>
        <v>0</v>
      </c>
      <c r="H13" s="8" t="n">
        <f aca="false">IFERROR(C13/(B13-G13),0)</f>
        <v>0</v>
      </c>
    </row>
    <row r="14" customFormat="false" ht="15" hidden="false" customHeight="false" outlineLevel="0" collapsed="false">
      <c r="A14" s="6" t="s">
        <v>214</v>
      </c>
      <c r="B14" s="7" t="n">
        <f aca="false">COUNTIF(Checklist!$B$2:$B$98,$A14)</f>
        <v>4</v>
      </c>
      <c r="C14" s="7" t="n">
        <f aca="false">COUNTIFS(Checklist!$B$2:$B$98,$A14,Checklist!$G$2:$G$98,"OK")</f>
        <v>0</v>
      </c>
      <c r="D14" s="7" t="n">
        <f aca="false">COUNTIFS(Checklist!$B$2:$B$98,$A14,Checklist!$G$2:$G$98,"Falhou")</f>
        <v>0</v>
      </c>
      <c r="E14" s="7" t="n">
        <f aca="false">COUNTIFS(Checklist!$B$2:$B$98,$A14,Checklist!$G$2:$G$98,"Em teste")</f>
        <v>0</v>
      </c>
      <c r="F14" s="7" t="n">
        <f aca="false">COUNTIFS(Checklist!$B$2:$B$98,$A14,Checklist!$G$2:$G$98,"Pendente")</f>
        <v>4</v>
      </c>
      <c r="G14" s="7" t="n">
        <f aca="false">COUNTIFS(Checklist!$B$2:$B$98,$A14,Checklist!$G$2:$G$98,"N/A")</f>
        <v>0</v>
      </c>
      <c r="H14" s="8" t="n">
        <f aca="false">IFERROR(C14/(B14-G14),0)</f>
        <v>0</v>
      </c>
    </row>
    <row r="15" customFormat="false" ht="15" hidden="false" customHeight="false" outlineLevel="0" collapsed="false">
      <c r="A15" s="6" t="s">
        <v>223</v>
      </c>
      <c r="B15" s="7" t="n">
        <f aca="false">COUNTIF(Checklist!$B$2:$B$98,$A15)</f>
        <v>4</v>
      </c>
      <c r="C15" s="7" t="n">
        <f aca="false">COUNTIFS(Checklist!$B$2:$B$98,$A15,Checklist!$G$2:$G$98,"OK")</f>
        <v>0</v>
      </c>
      <c r="D15" s="7" t="n">
        <f aca="false">COUNTIFS(Checklist!$B$2:$B$98,$A15,Checklist!$G$2:$G$98,"Falhou")</f>
        <v>0</v>
      </c>
      <c r="E15" s="7" t="n">
        <f aca="false">COUNTIFS(Checklist!$B$2:$B$98,$A15,Checklist!$G$2:$G$98,"Em teste")</f>
        <v>0</v>
      </c>
      <c r="F15" s="7" t="n">
        <f aca="false">COUNTIFS(Checklist!$B$2:$B$98,$A15,Checklist!$G$2:$G$98,"Pendente")</f>
        <v>4</v>
      </c>
      <c r="G15" s="7" t="n">
        <f aca="false">COUNTIFS(Checklist!$B$2:$B$98,$A15,Checklist!$G$2:$G$98,"N/A")</f>
        <v>0</v>
      </c>
      <c r="H15" s="8" t="n">
        <f aca="false">IFERROR(C15/(B15-G15),0)</f>
        <v>0</v>
      </c>
    </row>
    <row r="16" customFormat="false" ht="15" hidden="false" customHeight="false" outlineLevel="0" collapsed="false">
      <c r="A16" s="9" t="s">
        <v>238</v>
      </c>
      <c r="B16" s="10" t="n">
        <f aca="false">SUM(B2:B15)</f>
        <v>97</v>
      </c>
      <c r="C16" s="10" t="n">
        <f aca="false">SUM(C2:C15)</f>
        <v>0</v>
      </c>
      <c r="D16" s="10" t="n">
        <f aca="false">SUM(D2:D15)</f>
        <v>0</v>
      </c>
      <c r="E16" s="10" t="n">
        <f aca="false">SUM(E2:E15)</f>
        <v>0</v>
      </c>
      <c r="F16" s="10" t="n">
        <f aca="false">SUM(F2:F15)</f>
        <v>97</v>
      </c>
      <c r="G16" s="10" t="n">
        <f aca="false">SUM(G2:G15)</f>
        <v>0</v>
      </c>
      <c r="H16" s="11" t="n">
        <f aca="false">IFERROR(C16/(B16-G16),0)</f>
        <v>0</v>
      </c>
    </row>
    <row r="18" customFormat="false" ht="15" hidden="false" customHeight="false" outlineLevel="0" collapsed="false">
      <c r="A18" s="12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3" t="s">
        <v>240</v>
      </c>
      <c r="B1" s="14"/>
    </row>
    <row r="2" customFormat="false" ht="15" hidden="false" customHeight="false" outlineLevel="0" collapsed="false">
      <c r="A2" s="15" t="s">
        <v>241</v>
      </c>
      <c r="B2" s="14" t="s">
        <v>242</v>
      </c>
    </row>
    <row r="3" customFormat="false" ht="15" hidden="false" customHeight="false" outlineLevel="0" collapsed="false">
      <c r="A3" s="15" t="s">
        <v>6</v>
      </c>
      <c r="B3" s="14" t="s">
        <v>243</v>
      </c>
    </row>
    <row r="4" customFormat="false" ht="15" hidden="false" customHeight="false" outlineLevel="0" collapsed="false">
      <c r="A4" s="15" t="s">
        <v>5</v>
      </c>
      <c r="B4" s="14" t="s">
        <v>244</v>
      </c>
    </row>
    <row r="5" customFormat="false" ht="15" hidden="false" customHeight="false" outlineLevel="0" collapsed="false">
      <c r="A5" s="15" t="s">
        <v>245</v>
      </c>
      <c r="B5" s="14" t="s">
        <v>246</v>
      </c>
    </row>
    <row r="6" customFormat="false" ht="15" hidden="false" customHeight="false" outlineLevel="0" collapsed="false">
      <c r="A6" s="15" t="s">
        <v>4</v>
      </c>
      <c r="B6" s="14" t="s">
        <v>247</v>
      </c>
    </row>
    <row r="7" customFormat="false" ht="15" hidden="false" customHeight="false" outlineLevel="0" collapsed="false">
      <c r="A7" s="15" t="s">
        <v>248</v>
      </c>
      <c r="B7" s="14" t="s">
        <v>249</v>
      </c>
    </row>
    <row r="8" customFormat="false" ht="15" hidden="false" customHeight="false" outlineLevel="0" collapsed="false">
      <c r="A8" s="15"/>
      <c r="B8" s="14"/>
    </row>
    <row r="9" customFormat="false" ht="15" hidden="false" customHeight="false" outlineLevel="0" collapsed="false">
      <c r="A9" s="13" t="s">
        <v>250</v>
      </c>
      <c r="B9" s="14"/>
    </row>
    <row r="10" customFormat="false" ht="15" hidden="false" customHeight="false" outlineLevel="0" collapsed="false">
      <c r="A10" s="15" t="s">
        <v>6</v>
      </c>
      <c r="B10" s="14" t="s">
        <v>234</v>
      </c>
    </row>
    <row r="11" customFormat="false" ht="15" hidden="false" customHeight="false" outlineLevel="0" collapsed="false">
      <c r="A11" s="15" t="s">
        <v>7</v>
      </c>
      <c r="B11" s="14" t="s">
        <v>251</v>
      </c>
    </row>
    <row r="12" customFormat="false" ht="15" hidden="false" customHeight="false" outlineLevel="0" collapsed="false">
      <c r="A12" s="15" t="s">
        <v>8</v>
      </c>
      <c r="B12" s="14" t="s">
        <v>252</v>
      </c>
    </row>
    <row r="13" customFormat="false" ht="15" hidden="false" customHeight="false" outlineLevel="0" collapsed="false">
      <c r="A13" s="15" t="s">
        <v>9</v>
      </c>
      <c r="B13" s="14" t="s">
        <v>253</v>
      </c>
    </row>
    <row r="14" customFormat="false" ht="15" hidden="false" customHeight="false" outlineLevel="0" collapsed="false">
      <c r="A14" s="15"/>
      <c r="B14" s="14"/>
    </row>
    <row r="15" customFormat="false" ht="15" hidden="false" customHeight="false" outlineLevel="0" collapsed="false">
      <c r="A15" s="15" t="s">
        <v>254</v>
      </c>
      <c r="B15" s="14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2026-10-14T18:47:01Z</dcterms:created>
  <dc:creator>openpyxl</dc:creator>
  <dc:description/>
  <dc:language>en-US</dc:language>
  <cp:lastModifiedBy/>
  <dcterms:modified xsi:type="dcterms:W3CDTF">2026-10-14T18:47:01Z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